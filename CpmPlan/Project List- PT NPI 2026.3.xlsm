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workbookPr codeName="ThisWorkbook"/>
  <mc:AlternateContent xmlns:mc="http://schemas.openxmlformats.org/markup-compatibility/2006">
    <mc:Choice Requires="x15">
      <x15ac:absPath xmlns:x15ac="http://schemas.microsoft.com/office/spreadsheetml/2010/11/ac" url="D:\Spindex\16 NPI\"/>
    </mc:Choice>
  </mc:AlternateContent>
  <xr:revisionPtr revIDLastSave="0" documentId="13_ncr:20001_{C33023A7-3314-4A08-A802-B87B7D927BEC}" xr6:coauthVersionLast="47" xr6:coauthVersionMax="47" xr10:uidLastSave="{00000000-0000-0000-0000-000000000000}"/>
  <bookViews>
    <workbookView xWindow="-108" yWindow="-108" windowWidth="23256" windowHeight="12456" activeTab="1" xr2:uid="{00000000-000D-0000-FFFF-FFFF00000000}"/>
  </bookViews>
  <sheets>
    <sheet name="Summary " sheetId="27" r:id="rId1"/>
    <sheet name="List " sheetId="26" r:id="rId2"/>
    <sheet name="160312306W-T1" sheetId="3" r:id="rId3"/>
  </sheets>
  <externalReferences>
    <externalReference r:id="rId4"/>
  </externalReferences>
  <definedNames>
    <definedName name="_xlnm._FilterDatabase" localSheetId="1" hidden="1">'List '!$A$2:$AO$125</definedName>
    <definedName name="_xlnm.Print_Area" localSheetId="1">'List '!$A$2:$AO$88</definedName>
    <definedName name="_xlnm.Print_Titles" localSheetId="2">'160312306W-T1'!$4:$6</definedName>
    <definedName name="task_end" localSheetId="2">'160312306W-T1'!$H1</definedName>
    <definedName name="task_progress" localSheetId="2">#REF!</definedName>
    <definedName name="task_start" localSheetId="2">'160312306W-T1'!$E1</definedName>
    <definedName name="报价阶段" localSheetId="1">'List '!$H:$K</definedName>
    <definedName name="报价阶段" localSheetId="0">[1]List!$G:$K</definedName>
    <definedName name="报价阶段">#REF!</definedName>
    <definedName name="今天" localSheetId="2">TODAY()</definedName>
    <definedName name="显示周数" localSheetId="2">'160312306W-T1'!$E$4</definedName>
    <definedName name="显示周数" localSheetId="1">'[1]1619P20963S-T1'!$E$4</definedName>
    <definedName name="显示周数" localSheetId="0">'[1]1619P20963S-T1'!$E$4</definedName>
    <definedName name="显示周数">#REF!</definedName>
    <definedName name="项目开始" localSheetId="2">'160312306W-T1'!$E$3</definedName>
    <definedName name="项目开始" localSheetId="1">'[1]1619P20963S-T1'!$E$3</definedName>
    <definedName name="项目开始" localSheetId="0">'[1]1619P20963S-T1'!$E$3</definedName>
    <definedName name="项目开始">#REF!</definedName>
  </definedNames>
  <calcPr calcId="191029"/>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 l="1"/>
  <c r="F40" i="3"/>
  <c r="F39" i="3"/>
  <c r="F38" i="3"/>
  <c r="F37" i="3"/>
  <c r="F36" i="3"/>
  <c r="F35" i="3"/>
  <c r="H30" i="3"/>
  <c r="G30" i="3"/>
  <c r="E30" i="3"/>
  <c r="C30" i="3"/>
  <c r="B30" i="3"/>
  <c r="G29" i="3"/>
  <c r="E29" i="3"/>
  <c r="H29" i="3" s="1"/>
  <c r="C29" i="3"/>
  <c r="B29" i="3"/>
  <c r="G28" i="3"/>
  <c r="E28" i="3"/>
  <c r="H28" i="3" s="1"/>
  <c r="C28" i="3"/>
  <c r="B28" i="3"/>
  <c r="H27" i="3"/>
  <c r="G27" i="3"/>
  <c r="E27" i="3"/>
  <c r="C27" i="3"/>
  <c r="B27" i="3"/>
  <c r="G26" i="3"/>
  <c r="E26" i="3"/>
  <c r="H26" i="3" s="1"/>
  <c r="C26" i="3"/>
  <c r="B26" i="3"/>
  <c r="G25" i="3"/>
  <c r="E25" i="3"/>
  <c r="H25" i="3" s="1"/>
  <c r="C25" i="3"/>
  <c r="B25" i="3"/>
  <c r="G24" i="3"/>
  <c r="E24" i="3"/>
  <c r="H24" i="3" s="1"/>
  <c r="C24" i="3"/>
  <c r="B24" i="3"/>
  <c r="H23" i="3"/>
  <c r="G23" i="3"/>
  <c r="E23" i="3"/>
  <c r="C23" i="3"/>
  <c r="B23" i="3"/>
  <c r="H22" i="3"/>
  <c r="G22" i="3"/>
  <c r="E22" i="3"/>
  <c r="C22" i="3"/>
  <c r="B22" i="3"/>
  <c r="H21" i="3"/>
  <c r="G21" i="3"/>
  <c r="E21" i="3"/>
  <c r="C21" i="3"/>
  <c r="B21" i="3"/>
  <c r="H17" i="3"/>
  <c r="E17" i="3"/>
  <c r="D17" i="3"/>
  <c r="C17" i="3"/>
  <c r="H16" i="3"/>
  <c r="E16" i="3"/>
  <c r="D16" i="3"/>
  <c r="C16" i="3"/>
  <c r="H15" i="3"/>
  <c r="E15" i="3"/>
  <c r="D15" i="3"/>
  <c r="C15" i="3"/>
  <c r="H14" i="3"/>
  <c r="E14" i="3"/>
  <c r="D14" i="3"/>
  <c r="C14" i="3"/>
  <c r="H13" i="3"/>
  <c r="E13" i="3"/>
  <c r="D13" i="3"/>
  <c r="C13" i="3"/>
  <c r="H12" i="3"/>
  <c r="E12" i="3"/>
  <c r="D12" i="3"/>
  <c r="C12" i="3"/>
  <c r="H11" i="3"/>
  <c r="E11" i="3"/>
  <c r="D11" i="3"/>
  <c r="C11" i="3"/>
  <c r="H10" i="3"/>
  <c r="E10" i="3"/>
  <c r="D10" i="3"/>
  <c r="C10" i="3"/>
  <c r="H9" i="3"/>
  <c r="E9" i="3"/>
  <c r="D9" i="3"/>
  <c r="C9" i="3"/>
  <c r="H8" i="3"/>
  <c r="D8" i="3"/>
  <c r="C8"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BN4" i="3"/>
  <c r="BG4" i="3"/>
  <c r="AZ4" i="3"/>
  <c r="AS4" i="3"/>
  <c r="AL4" i="3"/>
  <c r="AE4" i="3"/>
  <c r="X4" i="3"/>
  <c r="Q4" i="3"/>
  <c r="J4" i="3"/>
  <c r="V125" i="26"/>
  <c r="V124" i="26"/>
  <c r="V123" i="26"/>
  <c r="V122" i="26"/>
  <c r="V121" i="26"/>
  <c r="V120" i="26"/>
  <c r="V119" i="26"/>
  <c r="V118" i="26"/>
  <c r="V117" i="26"/>
  <c r="V116" i="26"/>
  <c r="V115" i="26"/>
  <c r="V114" i="26"/>
  <c r="V113" i="26"/>
  <c r="V112" i="26"/>
  <c r="V111" i="26"/>
  <c r="V110" i="26"/>
  <c r="V109" i="26"/>
  <c r="V108" i="26"/>
  <c r="V107" i="26"/>
  <c r="V106" i="26"/>
  <c r="V105" i="26"/>
  <c r="V104" i="26"/>
  <c r="V103" i="26"/>
  <c r="V102" i="26"/>
  <c r="V101" i="26"/>
  <c r="V100" i="26"/>
  <c r="V99" i="26"/>
  <c r="V98" i="26"/>
  <c r="V97" i="26"/>
  <c r="V96" i="26"/>
  <c r="V95" i="26"/>
  <c r="V94" i="26"/>
  <c r="V93" i="26"/>
  <c r="V92" i="26"/>
  <c r="V91" i="26"/>
  <c r="V90" i="26"/>
  <c r="V89" i="26"/>
  <c r="V88" i="26"/>
  <c r="V87" i="26"/>
  <c r="V86" i="26"/>
  <c r="V85" i="26"/>
  <c r="V84" i="26"/>
  <c r="V83" i="26"/>
  <c r="V82" i="26"/>
  <c r="V81" i="26"/>
  <c r="V80" i="26"/>
  <c r="V79" i="26"/>
  <c r="V78" i="26"/>
  <c r="V77" i="26"/>
  <c r="V76" i="26"/>
  <c r="V75" i="26"/>
  <c r="V74" i="26"/>
  <c r="V73" i="26"/>
  <c r="V72" i="26"/>
  <c r="V71" i="26"/>
  <c r="V70" i="26"/>
  <c r="V69" i="26"/>
  <c r="V68" i="26"/>
  <c r="V67" i="26"/>
  <c r="V66" i="26"/>
  <c r="V65" i="26"/>
  <c r="V64" i="26"/>
  <c r="V63" i="26"/>
  <c r="V62" i="26"/>
  <c r="V61" i="26"/>
  <c r="V60" i="26"/>
  <c r="V59" i="26"/>
  <c r="V58" i="26"/>
  <c r="V57" i="26"/>
  <c r="V56" i="26"/>
  <c r="V55" i="26"/>
  <c r="V54" i="26"/>
  <c r="V53" i="26"/>
  <c r="V52" i="26"/>
  <c r="V51" i="26"/>
  <c r="V50" i="26"/>
  <c r="V49" i="26"/>
  <c r="V48" i="26"/>
  <c r="V47" i="26"/>
  <c r="V46" i="26"/>
  <c r="V45" i="26"/>
  <c r="V44" i="26"/>
  <c r="V43" i="26"/>
  <c r="V42" i="26"/>
  <c r="V41" i="26"/>
  <c r="V40" i="26"/>
  <c r="V39" i="26"/>
  <c r="V38" i="26"/>
  <c r="V37" i="26"/>
  <c r="V36" i="26"/>
  <c r="V35" i="26"/>
  <c r="V34" i="26"/>
  <c r="V33" i="26"/>
  <c r="V32" i="26"/>
  <c r="V31" i="26"/>
  <c r="V30" i="26"/>
  <c r="AD29" i="26"/>
  <c r="V27" i="26"/>
  <c r="V26" i="26"/>
  <c r="V25" i="26"/>
  <c r="V24" i="26"/>
  <c r="V22" i="26"/>
  <c r="V21" i="26"/>
  <c r="V20" i="26"/>
  <c r="V18" i="26"/>
  <c r="V17" i="26"/>
  <c r="V16" i="26"/>
  <c r="V14" i="26"/>
  <c r="V13" i="26"/>
  <c r="V12" i="26"/>
  <c r="V11" i="26"/>
  <c r="V10" i="26"/>
  <c r="V9" i="26"/>
  <c r="V8" i="26"/>
  <c r="V7" i="26"/>
  <c r="V6" i="26"/>
  <c r="V5" i="26"/>
  <c r="V4" i="26"/>
  <c r="V3"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xu wan</author>
  </authors>
  <commentList>
    <comment ref="D47" authorId="0" shapeId="0" xr:uid="{00000000-0006-0000-0200-000001000000}">
      <text>
        <r>
          <rPr>
            <b/>
            <sz val="9"/>
            <rFont val="宋体"/>
            <family val="3"/>
            <charset val="134"/>
          </rPr>
          <t>xu wan:</t>
        </r>
        <r>
          <rPr>
            <sz val="9"/>
            <rFont val="宋体"/>
            <family val="3"/>
            <charset val="134"/>
          </rPr>
          <t xml:space="preserve">
本次供应商制作</t>
        </r>
      </text>
    </comment>
  </commentList>
</comments>
</file>

<file path=xl/sharedStrings.xml><?xml version="1.0" encoding="utf-8"?>
<sst xmlns="http://schemas.openxmlformats.org/spreadsheetml/2006/main" count="852" uniqueCount="281">
  <si>
    <t>计数项:项目状态</t>
  </si>
  <si>
    <t>列标签</t>
  </si>
  <si>
    <t>行标签</t>
  </si>
  <si>
    <t>报价阶段</t>
  </si>
  <si>
    <t>样品交付</t>
  </si>
  <si>
    <t>样品制作</t>
  </si>
  <si>
    <t>已转量产</t>
  </si>
  <si>
    <t>总计</t>
  </si>
  <si>
    <t>B&amp;D</t>
  </si>
  <si>
    <t>BOS</t>
  </si>
  <si>
    <t>HIL</t>
  </si>
  <si>
    <t>MAK</t>
  </si>
  <si>
    <t>TTI</t>
  </si>
  <si>
    <t>YAMAHA</t>
  </si>
  <si>
    <t>宝捷机电</t>
  </si>
  <si>
    <t>宏凯</t>
  </si>
  <si>
    <t>华新</t>
  </si>
  <si>
    <t>鑫和</t>
  </si>
  <si>
    <t>序号</t>
  </si>
  <si>
    <t>客户</t>
  </si>
  <si>
    <t>最终客户</t>
  </si>
  <si>
    <t>零件号</t>
  </si>
  <si>
    <t>最新客图版本</t>
  </si>
  <si>
    <t>工序</t>
  </si>
  <si>
    <t>项目状态</t>
  </si>
  <si>
    <t>报价接收时间</t>
  </si>
  <si>
    <t>报价完成时间</t>
  </si>
  <si>
    <t>备注</t>
  </si>
  <si>
    <t>量纲/年</t>
  </si>
  <si>
    <t>项目启动时间</t>
  </si>
  <si>
    <t>预计量产时间</t>
  </si>
  <si>
    <t>实际量产时间</t>
  </si>
  <si>
    <t>风险等级</t>
  </si>
  <si>
    <t>零件情况</t>
  </si>
  <si>
    <t>T1</t>
  </si>
  <si>
    <t>T2</t>
  </si>
  <si>
    <t>T3</t>
  </si>
  <si>
    <t>当前进度</t>
  </si>
  <si>
    <t>订单数量</t>
  </si>
  <si>
    <t>计划交付时间</t>
  </si>
  <si>
    <t>投入数量</t>
  </si>
  <si>
    <t>实际交付时间</t>
  </si>
  <si>
    <t>交付数量</t>
  </si>
  <si>
    <t>延迟交付原因</t>
  </si>
  <si>
    <t>交付反馈</t>
  </si>
  <si>
    <t>327H42-0</t>
  </si>
  <si>
    <t>/</t>
  </si>
  <si>
    <t>车床-热处理-镗孔-VMI</t>
  </si>
  <si>
    <t>未定</t>
  </si>
  <si>
    <t>Y</t>
  </si>
  <si>
    <t>报告判不合格</t>
  </si>
  <si>
    <t>样品10+CO订单200(毛坯)</t>
  </si>
  <si>
    <t>样品10+CO订单</t>
  </si>
  <si>
    <t>准时交付</t>
  </si>
  <si>
    <t>4/7客户反馈报告不合格</t>
  </si>
  <si>
    <t>已交付,4/7客户测量判不合格,待整改报告</t>
  </si>
  <si>
    <t>327G69-4</t>
  </si>
  <si>
    <t>车床-热处理-外圆磨-修面-VMI</t>
  </si>
  <si>
    <t>G</t>
  </si>
  <si>
    <t>样品10+CO订单1000</t>
  </si>
  <si>
    <t>车床-热处理-无心磨-VMI</t>
  </si>
  <si>
    <t>378224-9</t>
  </si>
  <si>
    <t>车床-滚齿-热处理-磨1-磨2</t>
  </si>
  <si>
    <t>持续交付中</t>
  </si>
  <si>
    <t>1500个+ 180个+10个样品+30</t>
  </si>
  <si>
    <t>T2未承认,先行备货</t>
  </si>
  <si>
    <t>BOS国内</t>
  </si>
  <si>
    <t>1600A03UU2</t>
  </si>
  <si>
    <t>车床-热处理-磨1-磨2</t>
  </si>
  <si>
    <t>已交付</t>
  </si>
  <si>
    <t>80(20)</t>
  </si>
  <si>
    <t>已交付,待客户反馈</t>
  </si>
  <si>
    <t>1619P32754</t>
  </si>
  <si>
    <t>1619P33272</t>
  </si>
  <si>
    <t>车床-热处理-镗孔</t>
  </si>
  <si>
    <t>1600A03T52</t>
  </si>
  <si>
    <t>AB</t>
  </si>
  <si>
    <t>车床-滚花-滚齿-热处理-外圆磨-VMI</t>
  </si>
  <si>
    <t>50+20极限样品</t>
  </si>
  <si>
    <t>50+20</t>
  </si>
  <si>
    <t>BOS国外</t>
  </si>
  <si>
    <t>1600A02E2G</t>
  </si>
  <si>
    <t>AA</t>
  </si>
  <si>
    <t>车床-热处理-VMI</t>
  </si>
  <si>
    <t>已承认</t>
  </si>
  <si>
    <t>2026/3/25收到客户邮件,已认可,待订单批量试跑</t>
  </si>
  <si>
    <t>T1样品已承认,待客户正式订单</t>
  </si>
  <si>
    <t>1600A038SV</t>
  </si>
  <si>
    <t>车床-表面处理-VMI</t>
  </si>
  <si>
    <t>378226-5</t>
  </si>
  <si>
    <t>车床-压筋-热处理-磨-VMI</t>
  </si>
  <si>
    <t>10样品+30+CO125</t>
  </si>
  <si>
    <t>10+30+CO</t>
  </si>
  <si>
    <t>1619P20963</t>
  </si>
  <si>
    <t>车床-热处理-磨1-磨2-镗孔-VMI</t>
  </si>
  <si>
    <t>1619P19572</t>
  </si>
  <si>
    <t>车床-热处理-磨-VMI</t>
  </si>
  <si>
    <t>延误7天交付①总长较短,等待客户数据反馈②为了补齐1000pcs样品,等待供应商做的零件</t>
  </si>
  <si>
    <t>3.13已交付1000PCS,待客户反馈</t>
  </si>
  <si>
    <t>1619P33060</t>
  </si>
  <si>
    <t>01</t>
  </si>
  <si>
    <t>车床-热处理-CG-滚抛-VMI</t>
  </si>
  <si>
    <t>1619P33234</t>
  </si>
  <si>
    <t>待安排CYG加工,最晚30号做完</t>
  </si>
  <si>
    <t>327H12-9</t>
  </si>
  <si>
    <t>车床-热处理-内圆磨-发黑-VMI</t>
  </si>
  <si>
    <t>仓库</t>
  </si>
  <si>
    <t>样品10+30+CO订单（暂定）</t>
  </si>
  <si>
    <t>10+75</t>
  </si>
  <si>
    <t>因测量资源冲突,延误1天交付</t>
  </si>
  <si>
    <t>零件4/1已交付</t>
  </si>
  <si>
    <t>1600A03JP8</t>
  </si>
  <si>
    <t>车床-热处理-磨1-磨2-VMI</t>
  </si>
  <si>
    <t>1600A03000N4</t>
  </si>
  <si>
    <t>16030600BH</t>
  </si>
  <si>
    <t>05</t>
  </si>
  <si>
    <t>车床-热处理-磨-VMI
(整体外包)</t>
  </si>
  <si>
    <t>2026.04.02</t>
  </si>
  <si>
    <t>外包制作中</t>
  </si>
  <si>
    <t>实际准时入库,与客户沟通随大货发出,延误3天交付,</t>
  </si>
  <si>
    <t>4月底</t>
  </si>
  <si>
    <t>T2制作中</t>
  </si>
  <si>
    <t>1600C00139</t>
  </si>
  <si>
    <t>车床-VMI</t>
  </si>
  <si>
    <t>327H59-3</t>
  </si>
  <si>
    <t>车床-热处理</t>
  </si>
  <si>
    <t>10+30</t>
  </si>
  <si>
    <t>3/25新增订单</t>
  </si>
  <si>
    <t>327H19-5</t>
  </si>
  <si>
    <t>车床-滚齿-热处理-外圆磨</t>
  </si>
  <si>
    <t>磨床</t>
  </si>
  <si>
    <t>样品10+30+CO订单75</t>
  </si>
  <si>
    <t>客户未定磨床尺寸,暂停中</t>
  </si>
  <si>
    <t>3.17热处理回厂后,待客户确认CYG尺寸后加工,
CO订单新增75pcs,在制品约为140pcs</t>
  </si>
  <si>
    <t>1600A015BH</t>
  </si>
  <si>
    <t>车床-热处理-CG-珩磨-VMI</t>
  </si>
  <si>
    <t>鑫光</t>
  </si>
  <si>
    <t>4月中</t>
  </si>
  <si>
    <t>4/8已到厂,计划4/9外发CG本次CG外发</t>
  </si>
  <si>
    <t>160312306W</t>
  </si>
  <si>
    <t>车床-热处理-CG-VMI</t>
  </si>
  <si>
    <t>4月初</t>
  </si>
  <si>
    <t>4/3已入库
本次CG外发</t>
  </si>
  <si>
    <t>03</t>
  </si>
  <si>
    <t>车床-热处理-CYG1-CYG2-VMI</t>
  </si>
  <si>
    <t>CYG</t>
  </si>
  <si>
    <t>T2图纸设变</t>
  </si>
  <si>
    <t>3/24发热处理(鑫光 ),4/3已回厂,待安排CYG</t>
  </si>
  <si>
    <t>车床(外包)-刻字-热处理-内圆磨-磷化-VMI-包装</t>
  </si>
  <si>
    <t>R</t>
  </si>
  <si>
    <t>晨风</t>
  </si>
  <si>
    <t>外发制作车+刻字.供应商3/27取材料,回复车+刻字需2周交付,计划4/14交付车床半成品</t>
  </si>
  <si>
    <t>EZ570017641(2123595)</t>
  </si>
  <si>
    <t>材料3/30已到供应商处,回复车+刻字需2周交付,计划4/14交付车床半成品</t>
  </si>
  <si>
    <t>1619P20963s</t>
  </si>
  <si>
    <t>车床-热处理-高频-CYG1-CYG2-镗孔-VMI</t>
  </si>
  <si>
    <t>计划4/9高频回厂</t>
  </si>
  <si>
    <t>N449963-C2D1</t>
  </si>
  <si>
    <t>N487842-C2D1</t>
  </si>
  <si>
    <t>N687683-C2D1</t>
  </si>
  <si>
    <t>N783372-C2D1</t>
  </si>
  <si>
    <t>N820616-C2D1</t>
  </si>
  <si>
    <t>伞齿，量大争取，选择报价</t>
  </si>
  <si>
    <t>N713645-C2D1</t>
  </si>
  <si>
    <t>N331179-C2D1</t>
  </si>
  <si>
    <t>1600a03r0k</t>
  </si>
  <si>
    <t>全外包，3.9收到材料变更通知，报价不变</t>
  </si>
  <si>
    <t>3.9新增热处理工艺,图纸未变</t>
  </si>
  <si>
    <t>1619P07715</t>
  </si>
  <si>
    <t>1619P17035</t>
  </si>
  <si>
    <t>C202603121-100</t>
  </si>
  <si>
    <t>量产时以凸轮机和磨机制作（需购买）</t>
  </si>
  <si>
    <t>待配件</t>
  </si>
  <si>
    <t>需买刀版(14天),车床待安排制作,本次暂用φ6.0材料</t>
  </si>
  <si>
    <t>C202603121-49.2</t>
  </si>
  <si>
    <t>使用100长的刀版和夹头,CG待刀版,车床待安排制作,本次暂用φ6.0材料</t>
  </si>
  <si>
    <t>1 600 A03 A6C</t>
  </si>
  <si>
    <t>1 603 123 097</t>
  </si>
  <si>
    <t>5UM-8185J-10</t>
  </si>
  <si>
    <t>需定制滚齿刀,25天</t>
  </si>
  <si>
    <t>B97-8185J-00</t>
  </si>
  <si>
    <t>CS2-8185J-84</t>
  </si>
  <si>
    <t>A</t>
  </si>
  <si>
    <t>CS5-8185J-C0</t>
  </si>
  <si>
    <t>C</t>
  </si>
  <si>
    <t>1600A012R9</t>
  </si>
  <si>
    <t>AC</t>
  </si>
  <si>
    <t>1600A03N0B</t>
  </si>
  <si>
    <t>无扭力测试设备</t>
  </si>
  <si>
    <t>定制车床刀具(7~10天)</t>
  </si>
  <si>
    <t>AO</t>
  </si>
  <si>
    <t>AH</t>
  </si>
  <si>
    <t>AD</t>
  </si>
  <si>
    <t>160312305W</t>
  </si>
  <si>
    <t>AE</t>
  </si>
  <si>
    <t>外包凌派制作</t>
  </si>
  <si>
    <t>AG</t>
  </si>
  <si>
    <t>①量产需购置细目数砂轮
②量产从成本上建议使用锻料,打样量少建议棒料</t>
  </si>
  <si>
    <t>F000619060</t>
  </si>
  <si>
    <t>F000619099</t>
  </si>
  <si>
    <t>327J03-2</t>
  </si>
  <si>
    <t>00</t>
  </si>
  <si>
    <t>车床-热处理-镀锌-vmi</t>
  </si>
  <si>
    <t>10+30+CO订单(订单未定)</t>
  </si>
  <si>
    <t>待夹头到厂,镀锌供应商暂为滚镀,本次暂用φ6.3材料</t>
  </si>
  <si>
    <t>车床-钻孔-热处理-CYG1-CYG2-VMI</t>
  </si>
  <si>
    <t>待定</t>
  </si>
  <si>
    <t>库存全尺寸OK,484pcs可安排发货</t>
  </si>
  <si>
    <t>NA427821-C2D1</t>
  </si>
  <si>
    <t>NA228470-C2D1</t>
  </si>
  <si>
    <t>车床-热处理-CYG-VMI</t>
  </si>
  <si>
    <t>待安排加工</t>
  </si>
  <si>
    <t>待安排车床加工</t>
  </si>
  <si>
    <t>1619p33159</t>
  </si>
  <si>
    <t>车床-滚齿-热处理-CYG-剃齿-VMI</t>
  </si>
  <si>
    <t>滚齿刀申购中,待滚齿刀需月底前到货,车床提前几天安排,交期较紧张</t>
  </si>
  <si>
    <t>NB322054-C2D1</t>
  </si>
  <si>
    <t>需买2根30°顶针,塞规</t>
  </si>
  <si>
    <t>1619P18824</t>
  </si>
  <si>
    <t>1619P18825</t>
  </si>
  <si>
    <t>1619P18826</t>
  </si>
  <si>
    <t>1619P18827</t>
  </si>
  <si>
    <t>1619P18832</t>
  </si>
  <si>
    <r>
      <rPr>
        <sz val="12"/>
        <color theme="0"/>
        <rFont val="微软雅黑"/>
        <family val="2"/>
        <charset val="134"/>
      </rPr>
      <t>在此工作表中创建项目日程安排。
在单元格</t>
    </r>
    <r>
      <rPr>
        <sz val="12"/>
        <color theme="0"/>
        <rFont val="Arial"/>
        <family val="2"/>
      </rPr>
      <t xml:space="preserve"> B1 </t>
    </r>
    <r>
      <rPr>
        <sz val="12"/>
        <color theme="0"/>
        <rFont val="微软雅黑"/>
        <family val="2"/>
        <charset val="134"/>
      </rPr>
      <t>中输入此项目的标题。
有关如何使用此工作表（包括屏幕阅读器的说明）以及此工作簿作者的信息包含在</t>
    </r>
    <r>
      <rPr>
        <sz val="12"/>
        <color theme="0"/>
        <rFont val="Arial"/>
        <family val="2"/>
      </rPr>
      <t>“</t>
    </r>
    <r>
      <rPr>
        <sz val="12"/>
        <color theme="0"/>
        <rFont val="微软雅黑"/>
        <family val="2"/>
        <charset val="134"/>
      </rPr>
      <t>关于</t>
    </r>
    <r>
      <rPr>
        <sz val="12"/>
        <color theme="0"/>
        <rFont val="Arial"/>
        <family val="2"/>
      </rPr>
      <t>”</t>
    </r>
    <r>
      <rPr>
        <sz val="12"/>
        <color theme="0"/>
        <rFont val="微软雅黑"/>
        <family val="2"/>
        <charset val="134"/>
      </rPr>
      <t>工作表中。
继续向下浏览</t>
    </r>
    <r>
      <rPr>
        <sz val="12"/>
        <color theme="0"/>
        <rFont val="Arial"/>
        <family val="2"/>
      </rPr>
      <t xml:space="preserve"> A </t>
    </r>
    <r>
      <rPr>
        <sz val="12"/>
        <color theme="0"/>
        <rFont val="微软雅黑"/>
        <family val="2"/>
        <charset val="134"/>
      </rPr>
      <t>列，获取进一步指示。</t>
    </r>
  </si>
  <si>
    <r>
      <rPr>
        <b/>
        <sz val="14"/>
        <color theme="1" tint="0.34998626667073579"/>
        <rFont val="微软雅黑"/>
        <family val="2"/>
        <charset val="134"/>
      </rPr>
      <t>客户</t>
    </r>
  </si>
  <si>
    <t>BOSCH</t>
  </si>
  <si>
    <t>计划投入数量</t>
  </si>
  <si>
    <r>
      <rPr>
        <sz val="12"/>
        <color theme="0"/>
        <rFont val="微软雅黑"/>
        <family val="2"/>
        <charset val="134"/>
      </rPr>
      <t>在单元格</t>
    </r>
    <r>
      <rPr>
        <sz val="12"/>
        <color theme="0"/>
        <rFont val="Arial"/>
        <family val="2"/>
      </rPr>
      <t xml:space="preserve"> B2 </t>
    </r>
    <r>
      <rPr>
        <sz val="12"/>
        <color theme="0"/>
        <rFont val="微软雅黑"/>
        <family val="2"/>
        <charset val="134"/>
      </rPr>
      <t>中输入公司名称。</t>
    </r>
  </si>
  <si>
    <r>
      <rPr>
        <b/>
        <sz val="14"/>
        <color theme="1" tint="0.34998626667073579"/>
        <rFont val="微软雅黑"/>
        <family val="2"/>
        <charset val="134"/>
      </rPr>
      <t>零件</t>
    </r>
  </si>
  <si>
    <t>160312306W-T1</t>
  </si>
  <si>
    <t>阶段</t>
  </si>
  <si>
    <r>
      <rPr>
        <sz val="12"/>
        <color theme="0"/>
        <rFont val="微软雅黑"/>
        <family val="2"/>
        <charset val="134"/>
      </rPr>
      <t>在单元格</t>
    </r>
    <r>
      <rPr>
        <sz val="12"/>
        <color theme="0"/>
        <rFont val="Arial"/>
        <family val="2"/>
      </rPr>
      <t xml:space="preserve"> B3 </t>
    </r>
    <r>
      <rPr>
        <sz val="12"/>
        <color theme="0"/>
        <rFont val="微软雅黑"/>
        <family val="2"/>
        <charset val="134"/>
      </rPr>
      <t>中输入项目主管的姓名。在单元格</t>
    </r>
    <r>
      <rPr>
        <sz val="12"/>
        <color theme="0"/>
        <rFont val="Arial"/>
        <family val="2"/>
      </rPr>
      <t xml:space="preserve"> E3 </t>
    </r>
    <r>
      <rPr>
        <sz val="12"/>
        <color theme="0"/>
        <rFont val="微软雅黑"/>
        <family val="2"/>
        <charset val="134"/>
      </rPr>
      <t>中输入项目开始日期。项目开始：标签位于单元格</t>
    </r>
    <r>
      <rPr>
        <sz val="12"/>
        <color theme="0"/>
        <rFont val="Arial"/>
        <family val="2"/>
      </rPr>
      <t xml:space="preserve"> C3 </t>
    </r>
    <r>
      <rPr>
        <sz val="12"/>
        <color theme="0"/>
        <rFont val="微软雅黑"/>
        <family val="2"/>
        <charset val="134"/>
      </rPr>
      <t>中。</t>
    </r>
  </si>
  <si>
    <t>Back To List</t>
  </si>
  <si>
    <r>
      <rPr>
        <sz val="12"/>
        <color theme="1"/>
        <rFont val="微软雅黑"/>
        <family val="2"/>
        <charset val="134"/>
      </rPr>
      <t>项目开始：</t>
    </r>
  </si>
  <si>
    <r>
      <rPr>
        <sz val="12"/>
        <color theme="0"/>
        <rFont val="微软雅黑"/>
        <family val="2"/>
        <charset val="134"/>
      </rPr>
      <t>单元格</t>
    </r>
    <r>
      <rPr>
        <sz val="12"/>
        <color theme="0"/>
        <rFont val="Arial"/>
        <family val="2"/>
      </rPr>
      <t xml:space="preserve"> E4 </t>
    </r>
    <r>
      <rPr>
        <sz val="12"/>
        <color theme="0"/>
        <rFont val="微软雅黑"/>
        <family val="2"/>
        <charset val="134"/>
      </rPr>
      <t>中的显示周数表示单元格</t>
    </r>
    <r>
      <rPr>
        <sz val="12"/>
        <color theme="0"/>
        <rFont val="Arial"/>
        <family val="2"/>
      </rPr>
      <t xml:space="preserve"> I4 </t>
    </r>
    <r>
      <rPr>
        <sz val="12"/>
        <color theme="0"/>
        <rFont val="微软雅黑"/>
        <family val="2"/>
        <charset val="134"/>
      </rPr>
      <t>中项目日程安排内显示的起始周数。项目开始日期视为第</t>
    </r>
    <r>
      <rPr>
        <sz val="12"/>
        <color theme="0"/>
        <rFont val="Arial"/>
        <family val="2"/>
      </rPr>
      <t xml:space="preserve"> 1 </t>
    </r>
    <r>
      <rPr>
        <sz val="12"/>
        <color theme="0"/>
        <rFont val="微软雅黑"/>
        <family val="2"/>
        <charset val="134"/>
      </rPr>
      <t>周。要更改显示周数，只需单元格</t>
    </r>
    <r>
      <rPr>
        <sz val="12"/>
        <color theme="0"/>
        <rFont val="Arial"/>
        <family val="2"/>
      </rPr>
      <t xml:space="preserve"> E4 </t>
    </r>
    <r>
      <rPr>
        <sz val="12"/>
        <color theme="0"/>
        <rFont val="微软雅黑"/>
        <family val="2"/>
        <charset val="134"/>
      </rPr>
      <t>中输入新的周数。
从单元格</t>
    </r>
    <r>
      <rPr>
        <sz val="12"/>
        <color theme="0"/>
        <rFont val="Arial"/>
        <family val="2"/>
      </rPr>
      <t xml:space="preserve"> E4 </t>
    </r>
    <r>
      <rPr>
        <sz val="12"/>
        <color theme="0"/>
        <rFont val="微软雅黑"/>
        <family val="2"/>
        <charset val="134"/>
      </rPr>
      <t>的显示周数开始，每周的开始日期从单元格</t>
    </r>
    <r>
      <rPr>
        <sz val="12"/>
        <color theme="0"/>
        <rFont val="Arial"/>
        <family val="2"/>
      </rPr>
      <t xml:space="preserve"> I4 </t>
    </r>
    <r>
      <rPr>
        <sz val="12"/>
        <color theme="0"/>
        <rFont val="微软雅黑"/>
        <family val="2"/>
        <charset val="134"/>
      </rPr>
      <t>开始并且说自动计算得出的。在该视图中，从单元格</t>
    </r>
    <r>
      <rPr>
        <sz val="12"/>
        <color theme="0"/>
        <rFont val="Arial"/>
        <family val="2"/>
      </rPr>
      <t xml:space="preserve"> I4 </t>
    </r>
    <r>
      <rPr>
        <sz val="12"/>
        <color theme="0"/>
        <rFont val="微软雅黑"/>
        <family val="2"/>
        <charset val="134"/>
      </rPr>
      <t>到单元格</t>
    </r>
    <r>
      <rPr>
        <sz val="12"/>
        <color theme="0"/>
        <rFont val="Arial"/>
        <family val="2"/>
      </rPr>
      <t xml:space="preserve"> BF4 </t>
    </r>
    <r>
      <rPr>
        <sz val="12"/>
        <color theme="0"/>
        <rFont val="微软雅黑"/>
        <family val="2"/>
        <charset val="134"/>
      </rPr>
      <t>共有</t>
    </r>
    <r>
      <rPr>
        <sz val="12"/>
        <color theme="0"/>
        <rFont val="Arial"/>
        <family val="2"/>
      </rPr>
      <t xml:space="preserve"> 8 </t>
    </r>
    <r>
      <rPr>
        <sz val="12"/>
        <color theme="0"/>
        <rFont val="微软雅黑"/>
        <family val="2"/>
        <charset val="134"/>
      </rPr>
      <t>周的时间。
请勿修改这些单元格。
显示周数：标签位于单元格</t>
    </r>
    <r>
      <rPr>
        <sz val="12"/>
        <color theme="0"/>
        <rFont val="Arial"/>
        <family val="2"/>
      </rPr>
      <t xml:space="preserve"> C4 </t>
    </r>
    <r>
      <rPr>
        <sz val="12"/>
        <color theme="0"/>
        <rFont val="微软雅黑"/>
        <family val="2"/>
        <charset val="134"/>
      </rPr>
      <t>中。</t>
    </r>
  </si>
  <si>
    <r>
      <rPr>
        <sz val="12"/>
        <color theme="1"/>
        <rFont val="微软雅黑"/>
        <family val="2"/>
        <charset val="134"/>
      </rPr>
      <t>显示周数：</t>
    </r>
  </si>
  <si>
    <r>
      <rPr>
        <sz val="12"/>
        <color theme="0"/>
        <rFont val="微软雅黑"/>
        <family val="2"/>
        <charset val="134"/>
      </rPr>
      <t>单元格</t>
    </r>
    <r>
      <rPr>
        <sz val="12"/>
        <color theme="0"/>
        <rFont val="Arial"/>
        <family val="2"/>
      </rPr>
      <t xml:space="preserve"> I5 </t>
    </r>
    <r>
      <rPr>
        <sz val="12"/>
        <color theme="0"/>
        <rFont val="微软雅黑"/>
        <family val="2"/>
        <charset val="134"/>
      </rPr>
      <t>到</t>
    </r>
    <r>
      <rPr>
        <sz val="12"/>
        <color theme="0"/>
        <rFont val="Arial"/>
        <family val="2"/>
      </rPr>
      <t xml:space="preserve"> BL5 </t>
    </r>
    <r>
      <rPr>
        <sz val="12"/>
        <color theme="0"/>
        <rFont val="微软雅黑"/>
        <family val="2"/>
        <charset val="134"/>
      </rPr>
      <t>包含每个日期单元格上方单元格块中表示的星期的日期数字并且是自动计算得出的。
请勿修改这些单元格。
今天的日期带有红色（十六进制</t>
    </r>
    <r>
      <rPr>
        <sz val="12"/>
        <color theme="0"/>
        <rFont val="Arial"/>
        <family val="2"/>
      </rPr>
      <t xml:space="preserve"> #AD3815</t>
    </r>
    <r>
      <rPr>
        <sz val="12"/>
        <color theme="0"/>
        <rFont val="微软雅黑"/>
        <family val="2"/>
        <charset val="134"/>
      </rPr>
      <t>）轮廓（从第</t>
    </r>
    <r>
      <rPr>
        <sz val="12"/>
        <color theme="0"/>
        <rFont val="Arial"/>
        <family val="2"/>
      </rPr>
      <t xml:space="preserve"> 5 </t>
    </r>
    <r>
      <rPr>
        <sz val="12"/>
        <color theme="0"/>
        <rFont val="微软雅黑"/>
        <family val="2"/>
        <charset val="134"/>
      </rPr>
      <t>行中显示今天日期的列及至项目日程安排结尾的该列）。</t>
    </r>
  </si>
  <si>
    <r>
      <rPr>
        <sz val="12"/>
        <color theme="0"/>
        <rFont val="微软雅黑"/>
        <family val="2"/>
        <charset val="134"/>
      </rPr>
      <t>此行包含其后面的项目日程安排的标题。
从</t>
    </r>
    <r>
      <rPr>
        <sz val="12"/>
        <color theme="0"/>
        <rFont val="Arial"/>
        <family val="2"/>
      </rPr>
      <t xml:space="preserve"> B6 </t>
    </r>
    <r>
      <rPr>
        <sz val="12"/>
        <color theme="0"/>
        <rFont val="微软雅黑"/>
        <family val="2"/>
        <charset val="134"/>
      </rPr>
      <t>浏览到</t>
    </r>
    <r>
      <rPr>
        <sz val="12"/>
        <color theme="0"/>
        <rFont val="Arial"/>
        <family val="2"/>
      </rPr>
      <t xml:space="preserve"> BL6 </t>
    </r>
    <r>
      <rPr>
        <sz val="12"/>
        <color theme="0"/>
        <rFont val="微软雅黑"/>
        <family val="2"/>
        <charset val="134"/>
      </rPr>
      <t>以获取内容。该标题上方日期一周中每一天的首字母，从单元格</t>
    </r>
    <r>
      <rPr>
        <sz val="12"/>
        <color theme="0"/>
        <rFont val="Arial"/>
        <family val="2"/>
      </rPr>
      <t xml:space="preserve"> I6 </t>
    </r>
    <r>
      <rPr>
        <sz val="12"/>
        <color theme="0"/>
        <rFont val="微软雅黑"/>
        <family val="2"/>
        <charset val="134"/>
      </rPr>
      <t>开始，直到单元格</t>
    </r>
    <r>
      <rPr>
        <sz val="12"/>
        <color theme="0"/>
        <rFont val="Arial"/>
        <family val="2"/>
      </rPr>
      <t xml:space="preserve"> BL6</t>
    </r>
    <r>
      <rPr>
        <sz val="12"/>
        <color theme="0"/>
        <rFont val="微软雅黑"/>
        <family val="2"/>
        <charset val="134"/>
      </rPr>
      <t>。
所有项目日程表图表都是根据输入的开始和结束日期使用条件格式自动生成的。
从单元格</t>
    </r>
    <r>
      <rPr>
        <sz val="12"/>
        <color theme="0"/>
        <rFont val="Arial"/>
        <family val="2"/>
      </rPr>
      <t xml:space="preserve"> I7 </t>
    </r>
    <r>
      <rPr>
        <sz val="12"/>
        <color theme="0"/>
        <rFont val="微软雅黑"/>
        <family val="2"/>
        <charset val="134"/>
      </rPr>
      <t>开始的列</t>
    </r>
    <r>
      <rPr>
        <sz val="12"/>
        <color theme="0"/>
        <rFont val="Arial"/>
        <family val="2"/>
      </rPr>
      <t xml:space="preserve"> I </t>
    </r>
    <r>
      <rPr>
        <sz val="12"/>
        <color theme="0"/>
        <rFont val="微软雅黑"/>
        <family val="2"/>
        <charset val="134"/>
      </rPr>
      <t>之后，请勿修改列内单元格中的内容。</t>
    </r>
  </si>
  <si>
    <r>
      <rPr>
        <b/>
        <sz val="12"/>
        <color theme="0"/>
        <rFont val="微软雅黑"/>
        <family val="2"/>
        <charset val="134"/>
      </rPr>
      <t>工艺步骤</t>
    </r>
  </si>
  <si>
    <r>
      <rPr>
        <b/>
        <sz val="12"/>
        <color theme="0"/>
        <rFont val="微软雅黑"/>
        <family val="2"/>
        <charset val="134"/>
      </rPr>
      <t>责任人</t>
    </r>
  </si>
  <si>
    <t>持续天数</t>
  </si>
  <si>
    <r>
      <rPr>
        <b/>
        <sz val="12"/>
        <color theme="0"/>
        <rFont val="微软雅黑"/>
        <family val="2"/>
        <charset val="134"/>
      </rPr>
      <t>计划开始日期</t>
    </r>
  </si>
  <si>
    <r>
      <rPr>
        <b/>
        <sz val="12"/>
        <color theme="0"/>
        <rFont val="微软雅黑"/>
        <family val="2"/>
        <charset val="134"/>
      </rPr>
      <t>计划结束日期</t>
    </r>
  </si>
  <si>
    <r>
      <rPr>
        <b/>
        <sz val="12"/>
        <color theme="0"/>
        <rFont val="微软雅黑"/>
        <family val="2"/>
        <charset val="134"/>
      </rPr>
      <t>备注</t>
    </r>
  </si>
  <si>
    <r>
      <rPr>
        <sz val="12"/>
        <color theme="0"/>
        <rFont val="微软雅黑"/>
        <family val="2"/>
        <charset val="134"/>
      </rPr>
      <t>请勿删除此行。隐藏了此行，以保留用于突出显示项目日程安排中当天的公式。</t>
    </r>
    <r>
      <rPr>
        <sz val="12"/>
        <color theme="0"/>
        <rFont val="Arial"/>
        <family val="2"/>
      </rPr>
      <t xml:space="preserve"> </t>
    </r>
  </si>
  <si>
    <r>
      <rPr>
        <sz val="12"/>
        <color theme="0"/>
        <rFont val="微软雅黑"/>
        <family val="2"/>
        <charset val="134"/>
      </rPr>
      <t>单元格</t>
    </r>
    <r>
      <rPr>
        <sz val="12"/>
        <color theme="0"/>
        <rFont val="Arial"/>
        <family val="2"/>
      </rPr>
      <t xml:space="preserve"> B9 </t>
    </r>
    <r>
      <rPr>
        <sz val="12"/>
        <color theme="0"/>
        <rFont val="微软雅黑"/>
        <family val="2"/>
        <charset val="134"/>
      </rPr>
      <t>包含示例任务</t>
    </r>
    <r>
      <rPr>
        <sz val="12"/>
        <color theme="0"/>
        <rFont val="Arial"/>
        <family val="2"/>
      </rPr>
      <t>“</t>
    </r>
    <r>
      <rPr>
        <sz val="12"/>
        <color theme="0"/>
        <rFont val="微软雅黑"/>
        <family val="2"/>
        <charset val="134"/>
      </rPr>
      <t>任务</t>
    </r>
    <r>
      <rPr>
        <sz val="12"/>
        <color theme="0"/>
        <rFont val="Arial"/>
        <family val="2"/>
      </rPr>
      <t xml:space="preserve"> 1”</t>
    </r>
    <r>
      <rPr>
        <sz val="12"/>
        <color theme="0"/>
        <rFont val="微软雅黑"/>
        <family val="2"/>
        <charset val="134"/>
      </rPr>
      <t>。
在单元格</t>
    </r>
    <r>
      <rPr>
        <sz val="12"/>
        <color theme="0"/>
        <rFont val="Arial"/>
        <family val="2"/>
      </rPr>
      <t xml:space="preserve"> B9 </t>
    </r>
    <r>
      <rPr>
        <sz val="12"/>
        <color theme="0"/>
        <rFont val="微软雅黑"/>
        <family val="2"/>
        <charset val="134"/>
      </rPr>
      <t>中输入新的任务名称。
在单元格</t>
    </r>
    <r>
      <rPr>
        <sz val="12"/>
        <color theme="0"/>
        <rFont val="Arial"/>
        <family val="2"/>
      </rPr>
      <t xml:space="preserve"> C9 </t>
    </r>
    <r>
      <rPr>
        <sz val="12"/>
        <color theme="0"/>
        <rFont val="微软雅黑"/>
        <family val="2"/>
        <charset val="134"/>
      </rPr>
      <t>中输入任务负责人。
在单元格</t>
    </r>
    <r>
      <rPr>
        <sz val="12"/>
        <color theme="0"/>
        <rFont val="Arial"/>
        <family val="2"/>
      </rPr>
      <t xml:space="preserve"> D9 </t>
    </r>
    <r>
      <rPr>
        <sz val="12"/>
        <color theme="0"/>
        <rFont val="微软雅黑"/>
        <family val="2"/>
        <charset val="134"/>
      </rPr>
      <t>中输入任务进度。进度条出现在单元格中，并根据单元格中的数字进行着色。例如，</t>
    </r>
    <r>
      <rPr>
        <sz val="12"/>
        <color theme="0"/>
        <rFont val="Arial"/>
        <family val="2"/>
      </rPr>
      <t xml:space="preserve">50% </t>
    </r>
    <r>
      <rPr>
        <sz val="12"/>
        <color theme="0"/>
        <rFont val="微软雅黑"/>
        <family val="2"/>
        <charset val="134"/>
      </rPr>
      <t>的进度将着色一半的单元格。
在单元格</t>
    </r>
    <r>
      <rPr>
        <sz val="12"/>
        <color theme="0"/>
        <rFont val="Arial"/>
        <family val="2"/>
      </rPr>
      <t xml:space="preserve"> E9 </t>
    </r>
    <r>
      <rPr>
        <sz val="12"/>
        <color theme="0"/>
        <rFont val="微软雅黑"/>
        <family val="2"/>
        <charset val="134"/>
      </rPr>
      <t>中输入任务开始日期。
在单元格</t>
    </r>
    <r>
      <rPr>
        <sz val="12"/>
        <color theme="0"/>
        <rFont val="Arial"/>
        <family val="2"/>
      </rPr>
      <t xml:space="preserve"> F9 </t>
    </r>
    <r>
      <rPr>
        <sz val="12"/>
        <color theme="0"/>
        <rFont val="微软雅黑"/>
        <family val="2"/>
        <charset val="134"/>
      </rPr>
      <t>中输入任务结束日期。
从单元格</t>
    </r>
    <r>
      <rPr>
        <sz val="12"/>
        <color theme="0"/>
        <rFont val="Arial"/>
        <family val="2"/>
      </rPr>
      <t xml:space="preserve"> I9 </t>
    </r>
    <r>
      <rPr>
        <sz val="12"/>
        <color theme="0"/>
        <rFont val="微软雅黑"/>
        <family val="2"/>
        <charset val="134"/>
      </rPr>
      <t>到</t>
    </r>
    <r>
      <rPr>
        <sz val="12"/>
        <color theme="0"/>
        <rFont val="Arial"/>
        <family val="2"/>
      </rPr>
      <t xml:space="preserve"> BL9 </t>
    </r>
    <r>
      <rPr>
        <sz val="12"/>
        <color theme="0"/>
        <rFont val="微软雅黑"/>
        <family val="2"/>
        <charset val="134"/>
      </rPr>
      <t>的块中显示输入日期的已着色状态栏。</t>
    </r>
    <r>
      <rPr>
        <sz val="12"/>
        <color theme="0"/>
        <rFont val="Arial"/>
        <family val="2"/>
      </rPr>
      <t xml:space="preserve"> </t>
    </r>
  </si>
  <si>
    <t>车床</t>
  </si>
  <si>
    <r>
      <rPr>
        <sz val="12"/>
        <color theme="0"/>
        <rFont val="微软雅黑"/>
        <family val="2"/>
        <charset val="134"/>
      </rPr>
      <t>第</t>
    </r>
    <r>
      <rPr>
        <sz val="12"/>
        <color theme="0"/>
        <rFont val="Arial"/>
        <family val="2"/>
      </rPr>
      <t xml:space="preserve"> 10 </t>
    </r>
    <r>
      <rPr>
        <sz val="12"/>
        <color theme="0"/>
        <rFont val="微软雅黑"/>
        <family val="2"/>
        <charset val="134"/>
      </rPr>
      <t>行到第</t>
    </r>
    <r>
      <rPr>
        <sz val="12"/>
        <color theme="0"/>
        <rFont val="Arial"/>
        <family val="2"/>
      </rPr>
      <t xml:space="preserve"> 13 </t>
    </r>
    <r>
      <rPr>
        <sz val="12"/>
        <color theme="0"/>
        <rFont val="微软雅黑"/>
        <family val="2"/>
        <charset val="134"/>
      </rPr>
      <t>行重复第</t>
    </r>
    <r>
      <rPr>
        <sz val="12"/>
        <color theme="0"/>
        <rFont val="Arial"/>
        <family val="2"/>
      </rPr>
      <t xml:space="preserve"> 9 </t>
    </r>
    <r>
      <rPr>
        <sz val="12"/>
        <color theme="0"/>
        <rFont val="微软雅黑"/>
        <family val="2"/>
        <charset val="134"/>
      </rPr>
      <t>行的模式。
请对此工作表中的所有任务行重复单元格</t>
    </r>
    <r>
      <rPr>
        <sz val="12"/>
        <color theme="0"/>
        <rFont val="Arial"/>
        <family val="2"/>
      </rPr>
      <t xml:space="preserve"> A9 </t>
    </r>
    <r>
      <rPr>
        <sz val="12"/>
        <color theme="0"/>
        <rFont val="微软雅黑"/>
        <family val="2"/>
        <charset val="134"/>
      </rPr>
      <t>中的指令。覆盖任何示例数据。
另一个阶段的示例从单元格</t>
    </r>
    <r>
      <rPr>
        <sz val="12"/>
        <color theme="0"/>
        <rFont val="Arial"/>
        <family val="2"/>
      </rPr>
      <t xml:space="preserve"> A14 </t>
    </r>
    <r>
      <rPr>
        <sz val="12"/>
        <color theme="0"/>
        <rFont val="微软雅黑"/>
        <family val="2"/>
        <charset val="134"/>
      </rPr>
      <t>开始。
继续在单元格</t>
    </r>
    <r>
      <rPr>
        <sz val="12"/>
        <color theme="0"/>
        <rFont val="Arial"/>
        <family val="2"/>
      </rPr>
      <t xml:space="preserve"> A10 </t>
    </r>
    <r>
      <rPr>
        <sz val="12"/>
        <color theme="0"/>
        <rFont val="微软雅黑"/>
        <family val="2"/>
        <charset val="134"/>
      </rPr>
      <t>到</t>
    </r>
    <r>
      <rPr>
        <sz val="12"/>
        <color theme="0"/>
        <rFont val="Arial"/>
        <family val="2"/>
      </rPr>
      <t xml:space="preserve"> A13 </t>
    </r>
    <r>
      <rPr>
        <sz val="12"/>
        <color theme="0"/>
        <rFont val="微软雅黑"/>
        <family val="2"/>
        <charset val="134"/>
      </rPr>
      <t>中输入任务或转到单元格</t>
    </r>
    <r>
      <rPr>
        <sz val="12"/>
        <color theme="0"/>
        <rFont val="Arial"/>
        <family val="2"/>
      </rPr>
      <t xml:space="preserve"> A14 </t>
    </r>
    <r>
      <rPr>
        <sz val="12"/>
        <color theme="0"/>
        <rFont val="微软雅黑"/>
        <family val="2"/>
        <charset val="134"/>
      </rPr>
      <t>了解详细信息。</t>
    </r>
  </si>
  <si>
    <t>热处理</t>
  </si>
  <si>
    <t>无心磨</t>
  </si>
  <si>
    <t>VMI</t>
  </si>
  <si>
    <r>
      <rPr>
        <sz val="12"/>
        <color theme="0"/>
        <rFont val="微软雅黑"/>
        <family val="2"/>
        <charset val="134"/>
      </rPr>
      <t>右侧的单元格包含第</t>
    </r>
    <r>
      <rPr>
        <sz val="12"/>
        <color theme="0"/>
        <rFont val="Arial"/>
        <family val="2"/>
      </rPr>
      <t xml:space="preserve"> 2 </t>
    </r>
    <r>
      <rPr>
        <sz val="12"/>
        <color theme="0"/>
        <rFont val="微软雅黑"/>
        <family val="2"/>
        <charset val="134"/>
      </rPr>
      <t>阶段示例标题。
可随时在</t>
    </r>
    <r>
      <rPr>
        <sz val="12"/>
        <color theme="0"/>
        <rFont val="Arial"/>
        <family val="2"/>
      </rPr>
      <t xml:space="preserve"> B </t>
    </r>
    <r>
      <rPr>
        <sz val="12"/>
        <color theme="0"/>
        <rFont val="微软雅黑"/>
        <family val="2"/>
        <charset val="134"/>
      </rPr>
      <t>列中创建新阶段。此项目日程安排不需要阶段。要删除阶段，只需删除该行即可。
要在此行中创建新的阶段块，请在右侧的单元格中输入新的标题。
要继续向上述阶段添加任务，请在此行上方输入一个新行，并按照单元格</t>
    </r>
    <r>
      <rPr>
        <sz val="12"/>
        <color theme="0"/>
        <rFont val="Arial"/>
        <family val="2"/>
      </rPr>
      <t xml:space="preserve"> A9 </t>
    </r>
    <r>
      <rPr>
        <sz val="12"/>
        <color theme="0"/>
        <rFont val="微软雅黑"/>
        <family val="2"/>
        <charset val="134"/>
      </rPr>
      <t>的指令填写任务数据。
根据单元格</t>
    </r>
    <r>
      <rPr>
        <sz val="12"/>
        <color theme="0"/>
        <rFont val="Arial"/>
        <family val="2"/>
      </rPr>
      <t xml:space="preserve"> A8 </t>
    </r>
    <r>
      <rPr>
        <sz val="12"/>
        <color theme="0"/>
        <rFont val="微软雅黑"/>
        <family val="2"/>
        <charset val="134"/>
      </rPr>
      <t>的指令更新右侧单元格中的阶段详细信息。
继续向下浏览</t>
    </r>
    <r>
      <rPr>
        <sz val="12"/>
        <color theme="0"/>
        <rFont val="Arial"/>
        <family val="2"/>
      </rPr>
      <t xml:space="preserve"> A </t>
    </r>
    <r>
      <rPr>
        <sz val="12"/>
        <color theme="0"/>
        <rFont val="微软雅黑"/>
        <family val="2"/>
        <charset val="134"/>
      </rPr>
      <t>列单元格，了解更多信息。
如果尚未在此工作表中添加任何新行，将在单元格</t>
    </r>
    <r>
      <rPr>
        <sz val="12"/>
        <color theme="0"/>
        <rFont val="Arial"/>
        <family val="2"/>
      </rPr>
      <t xml:space="preserve"> B20 </t>
    </r>
    <r>
      <rPr>
        <sz val="12"/>
        <color theme="0"/>
        <rFont val="微软雅黑"/>
        <family val="2"/>
        <charset val="134"/>
      </rPr>
      <t>和</t>
    </r>
    <r>
      <rPr>
        <sz val="12"/>
        <color theme="0"/>
        <rFont val="Arial"/>
        <family val="2"/>
      </rPr>
      <t xml:space="preserve"> B26 </t>
    </r>
    <r>
      <rPr>
        <sz val="12"/>
        <color theme="0"/>
        <rFont val="微软雅黑"/>
        <family val="2"/>
        <charset val="134"/>
      </rPr>
      <t>中找到已创建的</t>
    </r>
    <r>
      <rPr>
        <sz val="12"/>
        <color theme="0"/>
        <rFont val="Arial"/>
        <family val="2"/>
      </rPr>
      <t xml:space="preserve"> 2 </t>
    </r>
    <r>
      <rPr>
        <sz val="12"/>
        <color theme="0"/>
        <rFont val="微软雅黑"/>
        <family val="2"/>
        <charset val="134"/>
      </rPr>
      <t>个其他示例阶段块。否则，请浏览</t>
    </r>
    <r>
      <rPr>
        <sz val="12"/>
        <color theme="0"/>
        <rFont val="Arial"/>
        <family val="2"/>
      </rPr>
      <t xml:space="preserve"> A </t>
    </r>
    <r>
      <rPr>
        <sz val="12"/>
        <color theme="0"/>
        <rFont val="微软雅黑"/>
        <family val="2"/>
        <charset val="134"/>
      </rPr>
      <t>列单元格以查找其他块。
在需要时重复单元格</t>
    </r>
    <r>
      <rPr>
        <sz val="12"/>
        <color theme="0"/>
        <rFont val="Arial"/>
        <family val="2"/>
      </rPr>
      <t xml:space="preserve"> A8 </t>
    </r>
    <r>
      <rPr>
        <sz val="12"/>
        <color theme="0"/>
        <rFont val="微软雅黑"/>
        <family val="2"/>
        <charset val="134"/>
      </rPr>
      <t>和</t>
    </r>
    <r>
      <rPr>
        <sz val="12"/>
        <color theme="0"/>
        <rFont val="Arial"/>
        <family val="2"/>
      </rPr>
      <t xml:space="preserve"> A9 </t>
    </r>
    <r>
      <rPr>
        <sz val="12"/>
        <color theme="0"/>
        <rFont val="微软雅黑"/>
        <family val="2"/>
        <charset val="134"/>
      </rPr>
      <t>的说明进行操作。</t>
    </r>
  </si>
  <si>
    <r>
      <rPr>
        <b/>
        <sz val="12"/>
        <color theme="1"/>
        <rFont val="微软雅黑"/>
        <family val="2"/>
        <charset val="134"/>
      </rPr>
      <t>工艺步骤</t>
    </r>
  </si>
  <si>
    <r>
      <rPr>
        <b/>
        <sz val="12"/>
        <color theme="1"/>
        <rFont val="微软雅黑"/>
        <family val="2"/>
        <charset val="134"/>
      </rPr>
      <t>责任人</t>
    </r>
  </si>
  <si>
    <r>
      <rPr>
        <b/>
        <sz val="12"/>
        <color theme="1"/>
        <rFont val="微软雅黑"/>
        <family val="2"/>
        <charset val="134"/>
      </rPr>
      <t>实际开始日期</t>
    </r>
  </si>
  <si>
    <r>
      <rPr>
        <b/>
        <sz val="12"/>
        <color theme="1"/>
        <rFont val="微软雅黑"/>
        <family val="2"/>
        <charset val="134"/>
      </rPr>
      <t>实际</t>
    </r>
    <r>
      <rPr>
        <b/>
        <sz val="12"/>
        <color theme="1"/>
        <rFont val="Arial"/>
        <family val="2"/>
      </rPr>
      <t>/</t>
    </r>
    <r>
      <rPr>
        <b/>
        <sz val="12"/>
        <color theme="1"/>
        <rFont val="微软雅黑"/>
        <family val="2"/>
        <charset val="134"/>
      </rPr>
      <t>预计开始日期</t>
    </r>
  </si>
  <si>
    <r>
      <rPr>
        <b/>
        <sz val="12"/>
        <color theme="1"/>
        <rFont val="微软雅黑"/>
        <family val="2"/>
        <charset val="134"/>
      </rPr>
      <t>实际持续天数</t>
    </r>
  </si>
  <si>
    <r>
      <rPr>
        <b/>
        <sz val="12"/>
        <color theme="1"/>
        <rFont val="微软雅黑"/>
        <family val="2"/>
        <charset val="134"/>
      </rPr>
      <t>实际</t>
    </r>
    <r>
      <rPr>
        <b/>
        <sz val="12"/>
        <color theme="1"/>
        <rFont val="Arial"/>
        <family val="2"/>
      </rPr>
      <t>/</t>
    </r>
    <r>
      <rPr>
        <b/>
        <sz val="12"/>
        <color theme="1"/>
        <rFont val="微软雅黑"/>
        <family val="2"/>
        <charset val="134"/>
      </rPr>
      <t>计划持续天数</t>
    </r>
  </si>
  <si>
    <r>
      <rPr>
        <b/>
        <sz val="12"/>
        <rFont val="微软雅黑"/>
        <family val="2"/>
        <charset val="134"/>
      </rPr>
      <t>实际结束日期</t>
    </r>
  </si>
  <si>
    <r>
      <rPr>
        <b/>
        <sz val="12"/>
        <rFont val="微软雅黑"/>
        <family val="2"/>
        <charset val="134"/>
      </rPr>
      <t>备注</t>
    </r>
  </si>
  <si>
    <t>供应商取料耽误一天</t>
  </si>
  <si>
    <r>
      <rPr>
        <sz val="12"/>
        <color theme="0"/>
        <rFont val="微软雅黑"/>
        <family val="2"/>
        <charset val="134"/>
      </rPr>
      <t>这是一个空行</t>
    </r>
  </si>
  <si>
    <r>
      <rPr>
        <sz val="12"/>
        <color theme="0"/>
        <rFont val="微软雅黑"/>
        <family val="2"/>
        <charset val="134"/>
      </rPr>
      <t>此行标记项目日程安排的结尾。请勿在此行中输入任何内容。
在此行上方插入新行，以继续构建项目日程安排。</t>
    </r>
  </si>
  <si>
    <r>
      <rPr>
        <b/>
        <i/>
        <sz val="12"/>
        <color theme="8" tint="-0.499984740745262"/>
        <rFont val="微软雅黑"/>
        <family val="2"/>
        <charset val="134"/>
      </rPr>
      <t>蓝色填充单元格手工填写</t>
    </r>
  </si>
  <si>
    <t>报价工时</t>
  </si>
  <si>
    <t>工艺路线</t>
  </si>
  <si>
    <t>负责人</t>
  </si>
  <si>
    <t>节拍（Sec）</t>
  </si>
  <si>
    <t>设定（天）</t>
  </si>
  <si>
    <t>预计耗时</t>
  </si>
  <si>
    <t>王少彬</t>
  </si>
  <si>
    <r>
      <rPr>
        <b/>
        <sz val="12"/>
        <color theme="1"/>
        <rFont val="Arial"/>
        <family val="2"/>
      </rPr>
      <t xml:space="preserve">1. 22Hrs/Day
2. OEE: 80%
3. </t>
    </r>
    <r>
      <rPr>
        <b/>
        <sz val="12"/>
        <color theme="1"/>
        <rFont val="等线"/>
        <family val="3"/>
        <charset val="134"/>
      </rPr>
      <t>不需要的工艺“节拍（</t>
    </r>
    <r>
      <rPr>
        <b/>
        <sz val="12"/>
        <color theme="1"/>
        <rFont val="Arial"/>
        <family val="2"/>
      </rPr>
      <t>Sec</t>
    </r>
    <r>
      <rPr>
        <b/>
        <sz val="12"/>
        <color theme="1"/>
        <rFont val="等线"/>
        <family val="3"/>
        <charset val="134"/>
      </rPr>
      <t>）” &amp; “设定（天）”单元格不填信息</t>
    </r>
  </si>
  <si>
    <t>单机</t>
  </si>
  <si>
    <t>外圆磨</t>
  </si>
  <si>
    <t>韦国强</t>
  </si>
  <si>
    <t>滚齿</t>
  </si>
  <si>
    <t>滚花</t>
  </si>
  <si>
    <t>陈荣荣</t>
  </si>
  <si>
    <t>谢良威</t>
  </si>
  <si>
    <r>
      <rPr>
        <sz val="12"/>
        <color theme="1"/>
        <rFont val="Arial"/>
        <family val="2"/>
      </rPr>
      <t>T1</t>
    </r>
    <r>
      <rPr>
        <sz val="12"/>
        <color theme="1"/>
        <rFont val="宋体"/>
        <family val="3"/>
        <charset val="134"/>
      </rPr>
      <t>打样</t>
    </r>
    <r>
      <rPr>
        <sz val="12"/>
        <color theme="1"/>
        <rFont val="Arial"/>
        <family val="2"/>
      </rPr>
      <t>2026/3/16</t>
    </r>
  </si>
  <si>
    <t>实际节拍（Sec）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</si>
</sst>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8" formatCode="yyyy/m/d\,\ aaaa"/>
    <numFmt numFmtId="179" formatCode="m/d/yy;@"/>
    <numFmt numFmtId="180" formatCode="d"/>
    <numFmt numFmtId="181" formatCode="[DBNum1][$-804]yyyy&quot;年&quot;m&quot;月&quot;;@"/>
    <numFmt numFmtId="182" formatCode="_ * #,##0_ ;_ * \-#,##0_ ;_ * &quot;-&quot;??_ ;_ @_ "/>
    <numFmt numFmtId="183" formatCode="0.00_ "/>
  </numFmts>
  <fonts count="47" x14ac:knownFonts="1">
    <font>
      <sz val="11"/>
      <color theme="1"/>
      <name val="宋体"/>
      <charset val="134"/>
      <scheme val="minor"/>
    </font>
    <font>
      <sz val="12"/>
      <color theme="0"/>
      <name val="Arial"/>
      <family val="2"/>
    </font>
    <font>
      <sz val="12"/>
      <color theme="1"/>
      <name val="Arial"/>
      <family val="2"/>
    </font>
    <font>
      <b/>
      <sz val="14"/>
      <color theme="1" tint="0.34998626667073579"/>
      <name val="Arial"/>
      <family val="2"/>
    </font>
    <font>
      <b/>
      <sz val="14"/>
      <color theme="8" tint="-0.499984740745262"/>
      <name val="Arial"/>
      <family val="2"/>
    </font>
    <font>
      <b/>
      <sz val="14"/>
      <color theme="1" tint="0.34998626667073579"/>
      <name val="微软雅黑"/>
      <family val="2"/>
      <charset val="134"/>
    </font>
    <font>
      <sz val="12"/>
      <name val="Arial"/>
      <family val="2"/>
    </font>
    <font>
      <b/>
      <sz val="12"/>
      <name val="Arial"/>
      <family val="2"/>
    </font>
    <font>
      <sz val="14"/>
      <color theme="1"/>
      <name val="Arial"/>
      <family val="2"/>
    </font>
    <font>
      <u/>
      <sz val="11"/>
      <color rgb="FF0000FF"/>
      <name val="宋体"/>
      <family val="3"/>
      <charset val="134"/>
      <scheme val="minor"/>
    </font>
    <font>
      <b/>
      <sz val="12"/>
      <color theme="8" tint="-0.499984740745262"/>
      <name val="Arial"/>
      <family val="2"/>
    </font>
    <font>
      <b/>
      <sz val="12"/>
      <color theme="0"/>
      <name val="Arial"/>
      <family val="2"/>
    </font>
    <font>
      <b/>
      <sz val="12"/>
      <color theme="0"/>
      <name val="微软雅黑"/>
      <family val="2"/>
      <charset val="134"/>
    </font>
    <font>
      <sz val="12"/>
      <color theme="1"/>
      <name val="宋体"/>
      <family val="3"/>
      <charset val="134"/>
    </font>
    <font>
      <b/>
      <sz val="12"/>
      <color theme="1"/>
      <name val="Arial"/>
      <family val="2"/>
    </font>
    <font>
      <b/>
      <i/>
      <sz val="12"/>
      <color theme="8" tint="-0.499984740745262"/>
      <name val="Arial"/>
      <family val="2"/>
    </font>
    <font>
      <sz val="12"/>
      <color theme="1" tint="0.499984740745262"/>
      <name val="Arial"/>
      <family val="2"/>
    </font>
    <font>
      <b/>
      <sz val="12"/>
      <color theme="1" tint="0.34998626667073579"/>
      <name val="Arial"/>
      <family val="2"/>
    </font>
    <font>
      <b/>
      <sz val="12"/>
      <color theme="1" tint="0.34998626667073579"/>
      <name val="宋体"/>
      <family val="3"/>
      <charset val="134"/>
    </font>
    <font>
      <sz val="12"/>
      <color theme="1"/>
      <name val="Microsoft YaHei UI"/>
      <family val="2"/>
      <charset val="134"/>
    </font>
    <font>
      <u/>
      <sz val="11"/>
      <color rgb="FF800080"/>
      <name val="宋体"/>
      <family val="3"/>
      <charset val="134"/>
      <scheme val="minor"/>
    </font>
    <font>
      <b/>
      <sz val="14"/>
      <color theme="1" tint="0.34998626667073579"/>
      <name val="宋体"/>
      <family val="3"/>
      <charset val="134"/>
    </font>
    <font>
      <sz val="11"/>
      <color theme="1"/>
      <name val="Microsoft YaHei UI"/>
      <family val="2"/>
      <charset val="134"/>
    </font>
    <font>
      <b/>
      <sz val="8"/>
      <color theme="1"/>
      <name val="微软雅黑"/>
      <family val="2"/>
      <charset val="134"/>
    </font>
    <font>
      <sz val="9"/>
      <color theme="1"/>
      <name val="微软雅黑"/>
      <family val="2"/>
      <charset val="134"/>
    </font>
    <font>
      <sz val="6"/>
      <color theme="1"/>
      <name val="微软雅黑"/>
      <family val="2"/>
      <charset val="134"/>
    </font>
    <font>
      <b/>
      <sz val="8"/>
      <name val="微软雅黑"/>
      <family val="2"/>
      <charset val="134"/>
    </font>
    <font>
      <sz val="9"/>
      <name val="微软雅黑"/>
      <family val="2"/>
      <charset val="134"/>
    </font>
    <font>
      <sz val="8"/>
      <name val="微软雅黑"/>
      <family val="2"/>
      <charset val="134"/>
    </font>
    <font>
      <sz val="6"/>
      <name val="微软雅黑"/>
      <family val="2"/>
      <charset val="134"/>
    </font>
    <font>
      <sz val="9"/>
      <name val="微软雅黑"/>
      <family val="2"/>
      <charset val="134"/>
    </font>
    <font>
      <sz val="9"/>
      <color rgb="FF000000"/>
      <name val="微软雅黑"/>
      <family val="2"/>
      <charset val="134"/>
    </font>
    <font>
      <sz val="9"/>
      <color theme="1"/>
      <name val="微软雅黑"/>
      <family val="2"/>
      <charset val="134"/>
    </font>
    <font>
      <sz val="6"/>
      <color rgb="FF000000"/>
      <name val="微软雅黑"/>
      <family val="2"/>
      <charset val="134"/>
    </font>
    <font>
      <b/>
      <sz val="18"/>
      <color theme="3"/>
      <name val="宋体"/>
      <family val="3"/>
      <charset val="134"/>
      <scheme val="minor"/>
    </font>
    <font>
      <b/>
      <sz val="11"/>
      <color theme="3"/>
      <name val="宋体"/>
      <family val="3"/>
      <charset val="134"/>
      <scheme val="minor"/>
    </font>
    <font>
      <sz val="11"/>
      <color theme="0"/>
      <name val="Microsoft YaHei UI"/>
      <family val="2"/>
      <charset val="134"/>
    </font>
    <font>
      <sz val="12"/>
      <color theme="0"/>
      <name val="微软雅黑"/>
      <family val="2"/>
      <charset val="134"/>
    </font>
    <font>
      <sz val="12"/>
      <color theme="1"/>
      <name val="微软雅黑"/>
      <family val="2"/>
      <charset val="134"/>
    </font>
    <font>
      <b/>
      <sz val="12"/>
      <name val="微软雅黑"/>
      <family val="2"/>
      <charset val="134"/>
    </font>
    <font>
      <b/>
      <sz val="12"/>
      <color theme="1"/>
      <name val="微软雅黑"/>
      <family val="2"/>
      <charset val="134"/>
    </font>
    <font>
      <b/>
      <sz val="12"/>
      <color theme="1"/>
      <name val="等线"/>
      <family val="3"/>
      <charset val="134"/>
    </font>
    <font>
      <b/>
      <i/>
      <sz val="12"/>
      <color theme="8" tint="-0.499984740745262"/>
      <name val="微软雅黑"/>
      <family val="2"/>
      <charset val="134"/>
    </font>
    <font>
      <b/>
      <sz val="9"/>
      <name val="宋体"/>
      <family val="3"/>
      <charset val="134"/>
    </font>
    <font>
      <sz val="9"/>
      <name val="宋体"/>
      <family val="3"/>
      <charset val="134"/>
    </font>
    <font>
      <sz val="9"/>
      <name val="宋体"/>
      <charset val="134"/>
      <scheme val="minor"/>
    </font>
    <font>
      <sz val="9"/>
      <name val="宋体"/>
      <family val="3"/>
      <charset val="134"/>
      <scheme val="minor"/>
    </font>
  </fonts>
  <fills count="13">
    <fill>
      <patternFill patternType="none"/>
    </fill>
    <fill>
      <patternFill patternType="gray125"/>
    </fill>
    <fill>
      <patternFill patternType="solid">
        <fgColor theme="4" tint="0.39997558519241921"/>
        <bgColor indexed="64"/>
      </patternFill>
    </fill>
    <fill>
      <patternFill patternType="solid">
        <fgColor theme="0" tint="-0.14996795556505021"/>
        <bgColor indexed="64"/>
      </patternFill>
    </fill>
    <fill>
      <patternFill patternType="solid">
        <fgColor theme="1" tint="0.34998626667073579"/>
        <bgColor theme="4"/>
      </patternFill>
    </fill>
    <fill>
      <patternFill patternType="solid">
        <fgColor theme="1" tint="0.34998626667073579"/>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5117038483843"/>
        <bgColor indexed="64"/>
      </patternFill>
    </fill>
    <fill>
      <patternFill patternType="solid">
        <fgColor theme="0" tint="-4.9989318521683403E-2"/>
        <bgColor indexed="64"/>
      </patternFill>
    </fill>
    <fill>
      <patternFill patternType="solid">
        <fgColor theme="8" tint="0.79995117038483843"/>
        <bgColor indexed="64"/>
      </patternFill>
    </fill>
    <fill>
      <patternFill patternType="solid">
        <fgColor theme="3" tint="0.59999389629810485"/>
        <bgColor indexed="64"/>
      </patternFill>
    </fill>
    <fill>
      <patternFill patternType="solid">
        <fgColor theme="0"/>
        <bgColor indexed="64"/>
      </patternFill>
    </fill>
  </fills>
  <borders count="13">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3743705557422"/>
      </bottom>
      <diagonal/>
    </border>
    <border>
      <left style="thin">
        <color theme="0" tint="-0.14990691854609822"/>
      </left>
      <right style="thin">
        <color theme="0" tint="-0.14990691854609822"/>
      </right>
      <top style="medium">
        <color theme="0" tint="-0.14993743705557422"/>
      </top>
      <bottom style="medium">
        <color theme="0" tint="-0.14993743705557422"/>
      </bottom>
      <diagonal/>
    </border>
    <border>
      <left/>
      <right/>
      <top style="medium">
        <color theme="0" tint="-0.14993743705557422"/>
      </top>
      <bottom style="medium">
        <color theme="0" tint="-0.14993743705557422"/>
      </bottom>
      <diagonal/>
    </border>
    <border>
      <left style="thin">
        <color auto="1"/>
      </left>
      <right style="thin">
        <color auto="1"/>
      </right>
      <top style="thin">
        <color auto="1"/>
      </top>
      <bottom style="thin">
        <color auto="1"/>
      </bottom>
      <diagonal/>
    </border>
    <border>
      <left/>
      <right/>
      <top/>
      <bottom style="medium">
        <color theme="4" tint="0.499984740745262"/>
      </bottom>
      <diagonal/>
    </border>
  </borders>
  <cellStyleXfs count="9">
    <xf numFmtId="0" fontId="0" fillId="0" borderId="0">
      <alignment vertical="center"/>
    </xf>
    <xf numFmtId="0" fontId="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2" applyNumberFormat="0" applyFill="0" applyAlignment="0" applyProtection="0">
      <alignment vertical="center"/>
    </xf>
    <xf numFmtId="0" fontId="36" fillId="0" borderId="0"/>
    <xf numFmtId="178" fontId="22" fillId="0" borderId="1">
      <alignment horizontal="center" vertical="center"/>
    </xf>
    <xf numFmtId="0" fontId="22" fillId="0" borderId="10" applyFill="0">
      <alignment horizontal="center" vertical="center"/>
    </xf>
    <xf numFmtId="179" fontId="22" fillId="0" borderId="10" applyFill="0">
      <alignment horizontal="center" vertical="center"/>
    </xf>
    <xf numFmtId="0" fontId="22" fillId="0" borderId="10" applyFill="0">
      <alignment horizontal="left" vertical="center" indent="2"/>
    </xf>
  </cellStyleXfs>
  <cellXfs count="123">
    <xf numFmtId="0" fontId="0" fillId="0" borderId="0" xfId="0">
      <alignment vertical="center"/>
    </xf>
    <xf numFmtId="0" fontId="1" fillId="0" borderId="0" xfId="4" applyFont="1" applyAlignment="1">
      <alignment horizontal="center" vertical="center"/>
    </xf>
    <xf numFmtId="0" fontId="2" fillId="0" borderId="0" xfId="0" applyFont="1" applyAlignment="1">
      <alignment horizontal="center" vertical="center"/>
    </xf>
    <xf numFmtId="0" fontId="1" fillId="0" borderId="0" xfId="4" applyFont="1" applyAlignment="1">
      <alignment horizontal="center" vertical="center" wrapText="1"/>
    </xf>
    <xf numFmtId="0" fontId="3" fillId="0" borderId="0" xfId="2" applyFont="1" applyAlignment="1">
      <alignment horizontal="center" vertical="center"/>
    </xf>
    <xf numFmtId="0" fontId="5" fillId="0" borderId="0" xfId="2" applyFont="1" applyAlignment="1">
      <alignment horizontal="center" vertical="center"/>
    </xf>
    <xf numFmtId="0" fontId="6" fillId="0" borderId="0" xfId="0" applyFont="1" applyAlignment="1">
      <alignment horizontal="center" vertical="center"/>
    </xf>
    <xf numFmtId="0" fontId="7" fillId="0" borderId="0" xfId="0" applyFont="1" applyAlignment="1">
      <alignment horizontal="center" vertical="center"/>
    </xf>
    <xf numFmtId="0" fontId="6" fillId="0" borderId="0" xfId="1" applyFont="1" applyAlignment="1" applyProtection="1">
      <alignment horizontal="center" vertical="center"/>
    </xf>
    <xf numFmtId="0" fontId="2" fillId="0" borderId="0" xfId="3" applyFont="1" applyBorder="1" applyAlignment="1">
      <alignment horizontal="center" vertical="center"/>
    </xf>
    <xf numFmtId="0" fontId="2" fillId="0" borderId="1" xfId="0" applyFont="1" applyBorder="1" applyAlignment="1">
      <alignment horizontal="center" vertical="center"/>
    </xf>
    <xf numFmtId="0" fontId="2" fillId="0" borderId="5" xfId="0" applyFont="1" applyBorder="1" applyAlignment="1">
      <alignment horizontal="center" vertical="center"/>
    </xf>
    <xf numFmtId="180" fontId="6" fillId="3" borderId="6" xfId="0" applyNumberFormat="1" applyFont="1" applyFill="1" applyBorder="1" applyAlignment="1">
      <alignment horizontal="center" vertical="center"/>
    </xf>
    <xf numFmtId="180" fontId="6" fillId="3" borderId="0" xfId="0" applyNumberFormat="1" applyFont="1" applyFill="1" applyAlignment="1">
      <alignment horizontal="center" vertical="center"/>
    </xf>
    <xf numFmtId="180" fontId="6" fillId="3" borderId="7" xfId="0" applyNumberFormat="1" applyFont="1" applyFill="1" applyBorder="1" applyAlignment="1">
      <alignment horizontal="center" vertical="center"/>
    </xf>
    <xf numFmtId="0" fontId="11" fillId="4" borderId="3" xfId="0" applyFont="1" applyFill="1" applyBorder="1" applyAlignment="1">
      <alignment horizontal="center" vertical="center"/>
    </xf>
    <xf numFmtId="0" fontId="11" fillId="4" borderId="3"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1" fillId="5" borderId="8" xfId="0" applyFont="1" applyFill="1" applyBorder="1" applyAlignment="1">
      <alignment horizontal="center" vertical="center" shrinkToFit="1"/>
    </xf>
    <xf numFmtId="0" fontId="2" fillId="0" borderId="0" xfId="0" applyFont="1" applyAlignment="1">
      <alignment horizontal="center" vertical="center" wrapText="1"/>
    </xf>
    <xf numFmtId="0" fontId="2" fillId="0" borderId="9" xfId="0" applyFont="1" applyBorder="1" applyAlignment="1">
      <alignment horizontal="center" vertical="center"/>
    </xf>
    <xf numFmtId="179" fontId="10" fillId="2" borderId="10" xfId="6" applyNumberFormat="1" applyFont="1" applyFill="1">
      <alignment horizontal="center" vertical="center"/>
    </xf>
    <xf numFmtId="0" fontId="2" fillId="6" borderId="10" xfId="6" applyFont="1" applyFill="1">
      <alignment horizontal="center" vertical="center"/>
    </xf>
    <xf numFmtId="179" fontId="2" fillId="6" borderId="10" xfId="7" applyFont="1" applyFill="1" applyAlignment="1">
      <alignment vertical="center"/>
    </xf>
    <xf numFmtId="0" fontId="6" fillId="0" borderId="10" xfId="0" applyFont="1" applyBorder="1" applyAlignment="1">
      <alignment horizontal="center" vertical="center"/>
    </xf>
    <xf numFmtId="0" fontId="13" fillId="0" borderId="9" xfId="0" applyFont="1" applyBorder="1" applyAlignment="1">
      <alignment horizontal="center" vertical="center"/>
    </xf>
    <xf numFmtId="179" fontId="2" fillId="6" borderId="10" xfId="7" applyFont="1" applyFill="1">
      <alignment horizontal="center" vertical="center"/>
    </xf>
    <xf numFmtId="0" fontId="14" fillId="7" borderId="10" xfId="0" applyFont="1" applyFill="1" applyBorder="1" applyAlignment="1">
      <alignment horizontal="center" vertical="center"/>
    </xf>
    <xf numFmtId="179" fontId="14" fillId="7" borderId="10" xfId="0" applyNumberFormat="1" applyFont="1" applyFill="1" applyBorder="1" applyAlignment="1">
      <alignment horizontal="center" vertical="center"/>
    </xf>
    <xf numFmtId="179" fontId="7" fillId="7" borderId="10" xfId="0" applyNumberFormat="1" applyFont="1" applyFill="1" applyBorder="1" applyAlignment="1">
      <alignment horizontal="center" vertical="center"/>
    </xf>
    <xf numFmtId="0" fontId="2" fillId="8" borderId="10" xfId="8" applyFont="1" applyFill="1" applyAlignment="1">
      <alignment horizontal="center" vertical="center"/>
    </xf>
    <xf numFmtId="0" fontId="2" fillId="8" borderId="10" xfId="6" applyFont="1" applyFill="1">
      <alignment horizontal="center" vertical="center"/>
    </xf>
    <xf numFmtId="179" fontId="2" fillId="8" borderId="10" xfId="7" applyFont="1" applyFill="1">
      <alignment horizontal="center" vertical="center"/>
    </xf>
    <xf numFmtId="0" fontId="2" fillId="8" borderId="10" xfId="7" applyNumberFormat="1" applyFont="1" applyFill="1">
      <alignment horizontal="center" vertical="center"/>
    </xf>
    <xf numFmtId="181" fontId="16" fillId="9" borderId="10" xfId="0" applyNumberFormat="1" applyFont="1" applyFill="1" applyBorder="1" applyAlignment="1">
      <alignment horizontal="center" vertical="center"/>
    </xf>
    <xf numFmtId="181" fontId="6" fillId="9" borderId="10" xfId="0" applyNumberFormat="1" applyFont="1" applyFill="1" applyBorder="1" applyAlignment="1">
      <alignment horizontal="center" vertical="center"/>
    </xf>
    <xf numFmtId="0" fontId="6" fillId="9" borderId="10" xfId="0" applyFont="1" applyFill="1" applyBorder="1" applyAlignment="1">
      <alignment horizontal="center" vertical="center"/>
    </xf>
    <xf numFmtId="0" fontId="2" fillId="9" borderId="9" xfId="0" applyFont="1" applyFill="1" applyBorder="1" applyAlignment="1">
      <alignment horizontal="center" vertical="center"/>
    </xf>
    <xf numFmtId="0" fontId="17" fillId="10" borderId="11" xfId="2" applyFont="1" applyFill="1" applyBorder="1" applyAlignment="1">
      <alignment horizontal="center" vertical="center"/>
    </xf>
    <xf numFmtId="0" fontId="18" fillId="10" borderId="11" xfId="2" applyFont="1" applyFill="1" applyBorder="1" applyAlignment="1">
      <alignment horizontal="center" vertical="center"/>
    </xf>
    <xf numFmtId="0" fontId="1" fillId="0" borderId="0" xfId="0" applyFont="1" applyAlignment="1">
      <alignment horizontal="center" vertical="center"/>
    </xf>
    <xf numFmtId="0" fontId="19" fillId="0" borderId="11" xfId="0" applyFont="1" applyBorder="1" applyAlignment="1">
      <alignment horizontal="center" vertical="center"/>
    </xf>
    <xf numFmtId="0" fontId="10" fillId="2" borderId="11" xfId="6" applyFont="1" applyFill="1" applyBorder="1">
      <alignment horizontal="center" vertical="center"/>
    </xf>
    <xf numFmtId="0" fontId="13" fillId="0" borderId="0" xfId="0" applyFont="1" applyAlignment="1">
      <alignment horizontal="center" vertical="center"/>
    </xf>
    <xf numFmtId="0" fontId="2" fillId="0" borderId="11" xfId="0" applyFont="1" applyBorder="1" applyAlignment="1">
      <alignment horizontal="center" vertical="center"/>
    </xf>
    <xf numFmtId="0" fontId="20" fillId="0" borderId="0" xfId="1" applyFont="1" applyBorder="1" applyAlignment="1">
      <alignment horizontal="center" vertical="center"/>
    </xf>
    <xf numFmtId="0" fontId="21" fillId="0" borderId="0" xfId="2" applyFont="1" applyAlignment="1">
      <alignment horizontal="center" vertical="center"/>
    </xf>
    <xf numFmtId="0" fontId="2" fillId="6" borderId="10" xfId="7" applyNumberFormat="1" applyFont="1" applyFill="1">
      <alignment horizontal="center" vertical="center"/>
    </xf>
    <xf numFmtId="179" fontId="10" fillId="11" borderId="10" xfId="6" applyNumberFormat="1" applyFont="1" applyFill="1">
      <alignment horizontal="center" vertical="center"/>
    </xf>
    <xf numFmtId="0" fontId="10" fillId="11" borderId="10" xfId="7" applyNumberFormat="1" applyFont="1" applyFill="1">
      <alignment horizontal="center" vertical="center"/>
    </xf>
    <xf numFmtId="0" fontId="23" fillId="0" borderId="0" xfId="0" applyFont="1">
      <alignment vertical="center"/>
    </xf>
    <xf numFmtId="0" fontId="23" fillId="0" borderId="0" xfId="0" applyFont="1" applyAlignment="1">
      <alignment horizontal="center" vertical="top" wrapText="1"/>
    </xf>
    <xf numFmtId="0" fontId="24" fillId="0" borderId="0" xfId="0" applyFont="1">
      <alignment vertical="center"/>
    </xf>
    <xf numFmtId="0" fontId="24" fillId="0" borderId="0" xfId="0" applyFont="1" applyAlignment="1">
      <alignment horizontal="center" vertical="center"/>
    </xf>
    <xf numFmtId="0" fontId="24" fillId="0" borderId="0" xfId="0" applyFont="1" applyAlignment="1">
      <alignment horizontal="center" vertical="center" wrapText="1"/>
    </xf>
    <xf numFmtId="0" fontId="25" fillId="0" borderId="0" xfId="0" applyFont="1" applyAlignment="1">
      <alignment vertical="center" wrapText="1"/>
    </xf>
    <xf numFmtId="14" fontId="24" fillId="0" borderId="0" xfId="0" applyNumberFormat="1" applyFont="1" applyAlignment="1">
      <alignment horizontal="center" vertical="center" wrapText="1"/>
    </xf>
    <xf numFmtId="182" fontId="24" fillId="0" borderId="0" xfId="0" applyNumberFormat="1" applyFont="1" applyAlignment="1">
      <alignment horizontal="center" vertical="center"/>
    </xf>
    <xf numFmtId="0" fontId="24" fillId="0" borderId="0" xfId="0" applyFont="1" applyAlignment="1">
      <alignment vertical="center" wrapText="1"/>
    </xf>
    <xf numFmtId="14" fontId="24" fillId="0" borderId="0" xfId="0" applyNumberFormat="1" applyFont="1">
      <alignment vertical="center"/>
    </xf>
    <xf numFmtId="14" fontId="25" fillId="0" borderId="0" xfId="0" applyNumberFormat="1" applyFont="1" applyAlignment="1">
      <alignment vertical="center" wrapText="1"/>
    </xf>
    <xf numFmtId="0" fontId="23" fillId="0" borderId="11" xfId="0" applyFont="1" applyBorder="1" applyAlignment="1">
      <alignment horizontal="center" vertical="center" wrapText="1"/>
    </xf>
    <xf numFmtId="14" fontId="23" fillId="0" borderId="11" xfId="0" applyNumberFormat="1" applyFont="1" applyBorder="1" applyAlignment="1">
      <alignment horizontal="center" vertical="center" wrapText="1"/>
    </xf>
    <xf numFmtId="0" fontId="24" fillId="0" borderId="11" xfId="0" applyFont="1" applyBorder="1" applyAlignment="1">
      <alignment horizontal="center" vertical="center"/>
    </xf>
    <xf numFmtId="0" fontId="24" fillId="12" borderId="11" xfId="0" applyFont="1" applyFill="1" applyBorder="1" applyAlignment="1">
      <alignment horizontal="center" vertical="center"/>
    </xf>
    <xf numFmtId="0" fontId="27" fillId="12" borderId="11" xfId="0" applyFont="1" applyFill="1" applyBorder="1" applyAlignment="1">
      <alignment horizontal="center" vertical="center" wrapText="1"/>
    </xf>
    <xf numFmtId="0" fontId="28" fillId="0" borderId="11" xfId="0" applyFont="1" applyBorder="1" applyAlignment="1">
      <alignment horizontal="center" vertical="center" wrapText="1"/>
    </xf>
    <xf numFmtId="0" fontId="29" fillId="12" borderId="11" xfId="0" applyFont="1" applyFill="1" applyBorder="1" applyAlignment="1">
      <alignment horizontal="center" vertical="center" wrapText="1"/>
    </xf>
    <xf numFmtId="0" fontId="30" fillId="12" borderId="11" xfId="0" applyFont="1" applyFill="1" applyBorder="1" applyAlignment="1">
      <alignment horizontal="center" vertical="center" wrapText="1"/>
    </xf>
    <xf numFmtId="14" fontId="27" fillId="12" borderId="11" xfId="0" applyNumberFormat="1" applyFont="1" applyFill="1" applyBorder="1" applyAlignment="1">
      <alignment horizontal="center" vertical="center" wrapText="1"/>
    </xf>
    <xf numFmtId="182" fontId="27" fillId="12" borderId="11" xfId="0" applyNumberFormat="1" applyFont="1" applyFill="1" applyBorder="1" applyAlignment="1">
      <alignment horizontal="center" vertical="center"/>
    </xf>
    <xf numFmtId="0" fontId="27" fillId="12" borderId="11" xfId="0" applyFont="1" applyFill="1" applyBorder="1" applyAlignment="1">
      <alignment horizontal="center" vertical="center"/>
    </xf>
    <xf numFmtId="14" fontId="28" fillId="0" borderId="11" xfId="0" applyNumberFormat="1" applyFont="1" applyBorder="1" applyAlignment="1">
      <alignment horizontal="center" vertical="center" wrapText="1"/>
    </xf>
    <xf numFmtId="0" fontId="31" fillId="0" borderId="11" xfId="0" applyFont="1" applyBorder="1">
      <alignment vertical="center"/>
    </xf>
    <xf numFmtId="0" fontId="29" fillId="12" borderId="11" xfId="0" applyFont="1" applyFill="1" applyBorder="1" applyAlignment="1">
      <alignment vertical="center" wrapText="1"/>
    </xf>
    <xf numFmtId="14" fontId="29" fillId="12" borderId="11" xfId="0" applyNumberFormat="1" applyFont="1" applyFill="1" applyBorder="1" applyAlignment="1">
      <alignment vertical="center" wrapText="1"/>
    </xf>
    <xf numFmtId="0" fontId="24" fillId="12" borderId="11" xfId="0" applyFont="1" applyFill="1" applyBorder="1" applyAlignment="1">
      <alignment horizontal="center" vertical="center" wrapText="1"/>
    </xf>
    <xf numFmtId="0" fontId="25" fillId="12" borderId="11" xfId="0" applyFont="1" applyFill="1" applyBorder="1" applyAlignment="1">
      <alignment horizontal="center" vertical="center" wrapText="1"/>
    </xf>
    <xf numFmtId="0" fontId="32" fillId="12" borderId="11" xfId="0" applyFont="1" applyFill="1" applyBorder="1" applyAlignment="1">
      <alignment horizontal="center" vertical="center" wrapText="1"/>
    </xf>
    <xf numFmtId="182" fontId="24" fillId="12" borderId="11" xfId="0" applyNumberFormat="1" applyFont="1" applyFill="1" applyBorder="1" applyAlignment="1">
      <alignment horizontal="center" vertical="center"/>
    </xf>
    <xf numFmtId="0" fontId="25" fillId="12" borderId="11" xfId="0" applyFont="1" applyFill="1" applyBorder="1" applyAlignment="1">
      <alignment horizontal="left" vertical="center" wrapText="1"/>
    </xf>
    <xf numFmtId="14" fontId="25" fillId="12" borderId="11" xfId="0" applyNumberFormat="1" applyFont="1" applyFill="1" applyBorder="1" applyAlignment="1">
      <alignment horizontal="left" vertical="center" wrapText="1"/>
    </xf>
    <xf numFmtId="0" fontId="25" fillId="12" borderId="11" xfId="0" applyFont="1" applyFill="1" applyBorder="1" applyAlignment="1">
      <alignment vertical="center" wrapText="1"/>
    </xf>
    <xf numFmtId="14" fontId="25" fillId="12" borderId="11" xfId="0" applyNumberFormat="1" applyFont="1" applyFill="1" applyBorder="1" applyAlignment="1">
      <alignment vertical="center" wrapText="1"/>
    </xf>
    <xf numFmtId="0" fontId="24" fillId="0" borderId="11" xfId="0" applyFont="1" applyBorder="1">
      <alignment vertical="center"/>
    </xf>
    <xf numFmtId="183" fontId="27" fillId="12" borderId="11" xfId="0" applyNumberFormat="1" applyFont="1" applyFill="1" applyBorder="1" applyAlignment="1">
      <alignment horizontal="center" vertical="center"/>
    </xf>
    <xf numFmtId="0" fontId="25" fillId="0" borderId="11" xfId="0" applyFont="1" applyBorder="1" applyAlignment="1">
      <alignment vertical="center" wrapText="1"/>
    </xf>
    <xf numFmtId="182" fontId="27" fillId="12" borderId="11" xfId="0" applyNumberFormat="1" applyFont="1" applyFill="1" applyBorder="1" applyAlignment="1">
      <alignment horizontal="center" vertical="center" wrapText="1"/>
    </xf>
    <xf numFmtId="0" fontId="27" fillId="0" borderId="11" xfId="0" applyFont="1" applyBorder="1" applyAlignment="1">
      <alignment horizontal="center" vertical="center"/>
    </xf>
    <xf numFmtId="0" fontId="33" fillId="0" borderId="11" xfId="0" applyFont="1" applyBorder="1" applyAlignment="1">
      <alignment vertical="center" wrapText="1"/>
    </xf>
    <xf numFmtId="0" fontId="29" fillId="0" borderId="11" xfId="0" applyFont="1" applyBorder="1" applyAlignment="1">
      <alignment horizontal="center" vertical="center" wrapText="1"/>
    </xf>
    <xf numFmtId="183" fontId="27" fillId="0" borderId="11" xfId="0" applyNumberFormat="1" applyFont="1" applyBorder="1" applyAlignment="1">
      <alignment horizontal="center" vertical="center" wrapText="1"/>
    </xf>
    <xf numFmtId="0" fontId="29" fillId="0" borderId="11" xfId="0" applyFont="1" applyBorder="1" applyAlignment="1">
      <alignment vertical="center" wrapText="1"/>
    </xf>
    <xf numFmtId="14" fontId="29" fillId="0" borderId="11" xfId="0" applyNumberFormat="1" applyFont="1" applyBorder="1" applyAlignment="1">
      <alignment vertical="center" wrapText="1"/>
    </xf>
    <xf numFmtId="0" fontId="31" fillId="0" borderId="11" xfId="0" applyFont="1" applyBorder="1" applyAlignment="1">
      <alignment vertical="center" wrapText="1"/>
    </xf>
    <xf numFmtId="0" fontId="24" fillId="0" borderId="11" xfId="0" applyFont="1" applyBorder="1" applyAlignment="1">
      <alignment horizontal="center" vertical="center" wrapText="1"/>
    </xf>
    <xf numFmtId="14" fontId="27" fillId="12" borderId="11" xfId="0" applyNumberFormat="1" applyFont="1" applyFill="1" applyBorder="1" applyAlignment="1">
      <alignment horizontal="center" vertical="center"/>
    </xf>
    <xf numFmtId="14" fontId="24" fillId="0" borderId="11" xfId="0" applyNumberFormat="1" applyFont="1" applyBorder="1" applyAlignment="1">
      <alignment horizontal="center" vertical="center"/>
    </xf>
    <xf numFmtId="182" fontId="24" fillId="0" borderId="11" xfId="0" applyNumberFormat="1" applyFont="1" applyBorder="1" applyAlignment="1">
      <alignment horizontal="center" vertical="center"/>
    </xf>
    <xf numFmtId="0" fontId="30" fillId="12" borderId="11" xfId="0" applyFont="1" applyFill="1" applyBorder="1" applyAlignment="1">
      <alignment horizontal="center" vertical="center"/>
    </xf>
    <xf numFmtId="0" fontId="31" fillId="0" borderId="11" xfId="0" applyFont="1" applyBorder="1" applyAlignment="1">
      <alignment horizontal="center" vertical="center"/>
    </xf>
    <xf numFmtId="0" fontId="25" fillId="0" borderId="11" xfId="0" applyFont="1" applyBorder="1" applyAlignment="1">
      <alignment horizontal="center" vertical="center" wrapText="1"/>
    </xf>
    <xf numFmtId="14" fontId="25" fillId="0" borderId="11" xfId="0" applyNumberFormat="1" applyFont="1" applyBorder="1" applyAlignment="1">
      <alignment vertical="center" wrapText="1"/>
    </xf>
    <xf numFmtId="14" fontId="24" fillId="0" borderId="11" xfId="0" applyNumberFormat="1" applyFont="1" applyBorder="1" applyAlignment="1">
      <alignment horizontal="center" vertical="center" wrapText="1"/>
    </xf>
    <xf numFmtId="0" fontId="32" fillId="0" borderId="11" xfId="0" applyFont="1" applyBorder="1" applyAlignment="1">
      <alignment horizontal="center" vertical="center"/>
    </xf>
    <xf numFmtId="14" fontId="24" fillId="0" borderId="0" xfId="0" applyNumberFormat="1" applyFont="1" applyAlignment="1">
      <alignment vertical="center" wrapText="1"/>
    </xf>
    <xf numFmtId="0" fontId="31" fillId="0" borderId="0" xfId="0" applyFont="1">
      <alignment vertical="center"/>
    </xf>
    <xf numFmtId="0" fontId="0" fillId="0" borderId="0" xfId="0" applyAlignment="1">
      <alignment horizontal="left" vertical="center"/>
    </xf>
    <xf numFmtId="0" fontId="28" fillId="0" borderId="11" xfId="0" quotePrefix="1" applyFont="1" applyBorder="1" applyAlignment="1">
      <alignment horizontal="center" vertical="center" wrapText="1"/>
    </xf>
    <xf numFmtId="0" fontId="23" fillId="0" borderId="11" xfId="0" applyFont="1" applyBorder="1" applyAlignment="1">
      <alignment horizontal="center" vertical="center" wrapText="1"/>
    </xf>
    <xf numFmtId="0" fontId="26" fillId="12" borderId="11" xfId="0" applyFont="1" applyFill="1" applyBorder="1" applyAlignment="1">
      <alignment horizontal="center" vertical="center" wrapText="1"/>
    </xf>
    <xf numFmtId="14" fontId="23" fillId="0" borderId="11" xfId="0" applyNumberFormat="1" applyFont="1" applyBorder="1" applyAlignment="1">
      <alignment horizontal="center" vertical="center" wrapText="1"/>
    </xf>
    <xf numFmtId="182" fontId="23" fillId="0" borderId="11" xfId="0" applyNumberFormat="1" applyFont="1" applyBorder="1" applyAlignment="1">
      <alignment horizontal="center" vertical="center" wrapText="1"/>
    </xf>
    <xf numFmtId="0" fontId="4" fillId="2" borderId="0" xfId="0" applyFont="1" applyFill="1" applyAlignment="1">
      <alignment horizontal="center" vertical="center"/>
    </xf>
    <xf numFmtId="0" fontId="8" fillId="2" borderId="0" xfId="0" applyFont="1" applyFill="1" applyAlignment="1">
      <alignment horizontal="center" vertical="center"/>
    </xf>
    <xf numFmtId="178" fontId="10" fillId="2" borderId="1" xfId="5" applyFont="1" applyFill="1">
      <alignment horizontal="center" vertical="center"/>
    </xf>
    <xf numFmtId="31" fontId="2" fillId="3" borderId="2" xfId="0" applyNumberFormat="1" applyFont="1" applyFill="1" applyBorder="1" applyAlignment="1">
      <alignment horizontal="center" vertical="center" wrapText="1"/>
    </xf>
    <xf numFmtId="31" fontId="2" fillId="3" borderId="3" xfId="0" applyNumberFormat="1" applyFont="1" applyFill="1" applyBorder="1" applyAlignment="1">
      <alignment horizontal="center" vertical="center" wrapText="1"/>
    </xf>
    <xf numFmtId="31" fontId="2" fillId="3" borderId="4" xfId="0" applyNumberFormat="1" applyFont="1" applyFill="1" applyBorder="1" applyAlignment="1">
      <alignment horizontal="center" vertical="center" wrapText="1"/>
    </xf>
    <xf numFmtId="0" fontId="11" fillId="4" borderId="3" xfId="0" applyFont="1" applyFill="1" applyBorder="1" applyAlignment="1">
      <alignment horizontal="center" vertical="center" wrapText="1"/>
    </xf>
    <xf numFmtId="0" fontId="15" fillId="2" borderId="10" xfId="0" applyFont="1" applyFill="1" applyBorder="1" applyAlignment="1">
      <alignment horizontal="center" vertical="center"/>
    </xf>
    <xf numFmtId="0" fontId="14" fillId="0" borderId="11" xfId="0" applyFont="1" applyBorder="1" applyAlignment="1">
      <alignment horizontal="left" vertical="center" wrapText="1"/>
    </xf>
    <xf numFmtId="0" fontId="14" fillId="0" borderId="11" xfId="0" applyFont="1" applyBorder="1" applyAlignment="1">
      <alignment horizontal="left" vertical="center"/>
    </xf>
  </cellXfs>
  <cellStyles count="9">
    <cellStyle name="z隐藏文本" xfId="4" xr:uid="{00000000-0005-0000-0000-000031000000}"/>
    <cellStyle name="标题" xfId="2" builtinId="15"/>
    <cellStyle name="标题 3" xfId="3" builtinId="18"/>
    <cellStyle name="常规" xfId="0" builtinId="0"/>
    <cellStyle name="超链接" xfId="1" builtinId="8"/>
    <cellStyle name="任务" xfId="8" xr:uid="{00000000-0005-0000-0000-000035000000}"/>
    <cellStyle name="日期" xfId="7" xr:uid="{00000000-0005-0000-0000-000034000000}"/>
    <cellStyle name="项目开始" xfId="5" xr:uid="{00000000-0005-0000-0000-000032000000}"/>
    <cellStyle name="姓名" xfId="6" xr:uid="{00000000-0005-0000-0000-000033000000}"/>
  </cellStyles>
  <dxfs count="32">
    <dxf>
      <fill>
        <patternFill patternType="solid">
          <bgColor theme="0" tint="-0.34998626667073579"/>
        </patternFill>
      </fill>
    </dxf>
    <dxf>
      <fill>
        <patternFill patternType="solid">
          <bgColor theme="7"/>
        </patternFill>
      </fill>
      <border>
        <left/>
        <right/>
      </border>
    </dxf>
    <dxf>
      <fill>
        <patternFill patternType="solid">
          <bgColor theme="0" tint="-0.34998626667073579"/>
        </patternFill>
      </fill>
    </dxf>
    <dxf>
      <fill>
        <patternFill patternType="solid">
          <bgColor theme="7"/>
        </patternFill>
      </fill>
      <border>
        <left/>
        <right/>
      </border>
    </dxf>
    <dxf>
      <border>
        <left style="thin">
          <color rgb="FFC00000"/>
        </left>
        <right style="thin">
          <color rgb="FFC00000"/>
        </right>
      </border>
    </dxf>
    <dxf>
      <border>
        <left style="thin">
          <color rgb="FFC00000"/>
        </left>
        <right style="thin">
          <color rgb="FFC00000"/>
        </right>
      </border>
    </dxf>
    <dxf>
      <border>
        <left style="thin">
          <color rgb="FFC00000"/>
        </left>
        <right style="thin">
          <color rgb="FFC00000"/>
        </right>
      </border>
    </dxf>
    <dxf>
      <border>
        <left style="thin">
          <color rgb="FFC00000"/>
        </left>
        <right style="thin">
          <color rgb="FFC00000"/>
        </right>
      </border>
    </dxf>
    <dxf>
      <fill>
        <patternFill patternType="solid">
          <bgColor theme="7"/>
        </patternFill>
      </fill>
      <border>
        <left/>
        <right/>
      </border>
    </dxf>
    <dxf>
      <fill>
        <patternFill patternType="solid">
          <bgColor theme="0" tint="-0.34998626667073579"/>
        </patternFill>
      </fill>
    </dxf>
    <dxf>
      <border>
        <left style="thin">
          <color rgb="FFC00000"/>
        </left>
        <right style="thin">
          <color rgb="FFC00000"/>
        </right>
      </border>
    </dxf>
    <dxf>
      <fill>
        <patternFill patternType="solid">
          <bgColor theme="7"/>
        </patternFill>
      </fill>
      <border>
        <left/>
        <right/>
      </border>
    </dxf>
    <dxf>
      <fill>
        <patternFill patternType="solid">
          <bgColor rgb="FF92D050"/>
        </patternFill>
      </fill>
    </dxf>
    <dxf>
      <fill>
        <patternFill patternType="solid">
          <bgColor rgb="FFFFFF00"/>
        </patternFill>
      </fill>
    </dxf>
    <dxf>
      <fill>
        <patternFill patternType="solid">
          <bgColor rgb="FFFF0000"/>
        </patternFill>
      </fill>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2" defaultTableStyle="TableStylePreset3_Accent1" defaultPivotStyle="PivotStylePreset2_Accent1">
    <tableStyle name="TableStylePreset3_Accent1" pivot="0" count="7" xr9:uid="{59DB682C-5494-4EDE-A608-00C9E5F0F923}">
      <tableStyleElement type="wholeTable" dxfId="31"/>
      <tableStyleElement type="headerRow" dxfId="30"/>
      <tableStyleElement type="totalRow" dxfId="29"/>
      <tableStyleElement type="firstColumn" dxfId="28"/>
      <tableStyleElement type="lastColumn" dxfId="27"/>
      <tableStyleElement type="firstRowStripe" dxfId="26"/>
      <tableStyleElement type="firstColumnStripe" dxfId="25"/>
    </tableStyle>
    <tableStyle name="PivotStylePreset2_Accent1" table="0" count="10" xr9:uid="{267968C8-6FFD-4C36-ACC1-9EA1FD1885CA}">
      <tableStyleElement type="headerRow" dxfId="24"/>
      <tableStyleElement type="totalRow" dxfId="23"/>
      <tableStyleElement type="firstRowStripe" dxfId="22"/>
      <tableStyleElement type="firstColumnStripe" dxfId="21"/>
      <tableStyleElement type="firstSubtotalRow" dxfId="20"/>
      <tableStyleElement type="secondSubtotalRow" dxfId="19"/>
      <tableStyleElement type="firstRowSubheading" dxfId="18"/>
      <tableStyleElement type="secondRowSubheading" dxfId="17"/>
      <tableStyleElement type="pageFieldLabels" dxfId="16"/>
      <tableStyleElement type="pageFieldValues" dxfId="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20107;&#24517;&#24471;\&#39033;&#30446;&#24635;&#35745;\&#39033;&#30446;&#32479;&#35745;&#28165;&#2133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List"/>
      <sheetName val="160312306W-T1"/>
      <sheetName val="1600A015BH-T1 "/>
      <sheetName val="1619P20963S-T1"/>
      <sheetName val="2443402-T2"/>
      <sheetName val="C202603121-100-T1"/>
      <sheetName val="C202603121-49.2-T1"/>
      <sheetName val="NA228470-T1"/>
      <sheetName val="1619P33159-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xwechat_files\wxid_6zramhm4gfq222_7881\msg\file\2026-04\Project%20List-PT%20NPI.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xu wan" refreshedDate="46121.4164930556" createdVersion="8" refreshedVersion="5" minRefreshableVersion="3" recordCount="79" xr:uid="{00000000-000A-0000-FFFF-FFFF00000000}">
  <cacheSource type="worksheet">
    <worksheetSource ref="A1:G1048576" sheet="List" r:id="rId2"/>
  </cacheSource>
  <cacheFields count="7">
    <cacheField name="序号" numFmtId="0">
      <sharedItems containsString="0" containsBlank="1" containsNumber="1" containsInteger="1" minValue="1" maxValue="77" count="78">
        <m/>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sharedItems>
    </cacheField>
    <cacheField name="客户" numFmtId="0">
      <sharedItems containsBlank="1" count="11">
        <m/>
        <s v="MAK"/>
        <s v="HIL"/>
        <s v="BOS"/>
        <s v="宝捷机电"/>
        <s v="华新"/>
        <s v="宏凯"/>
        <s v="B&amp;D"/>
        <s v="YAMAHA"/>
        <s v="鑫和"/>
        <s v="TTI"/>
      </sharedItems>
    </cacheField>
    <cacheField name="最终客户" numFmtId="0">
      <sharedItems containsBlank="1" count="9">
        <m/>
        <s v="MAK"/>
        <s v="HIL"/>
        <s v="BOS国内"/>
        <s v="BOS"/>
        <s v="BOS国外"/>
        <s v="B&amp;D"/>
        <s v="YAMAHA"/>
        <s v="TTI"/>
      </sharedItems>
    </cacheField>
    <cacheField name="零件号" numFmtId="0">
      <sharedItems containsBlank="1" containsMixedTypes="1" containsNumber="1" containsInteger="1" count="78">
        <m/>
        <s v="327H42-0"/>
        <s v="327G69-4"/>
        <n v="26010"/>
        <s v="378224-9"/>
        <s v="1600A03UU2"/>
        <s v="1619P32754"/>
        <s v="1619P33272"/>
        <s v="1600A03T52"/>
        <s v="1600A02E2G"/>
        <s v="1600A038SV"/>
        <s v="378226-5"/>
        <s v="1619P20963"/>
        <s v="1619P19572"/>
        <s v="1619P33060"/>
        <n v="2440138"/>
        <s v="1619P33234"/>
        <s v="327H12-9"/>
        <s v="1600A03JP8"/>
        <s v="1600A03000N4"/>
        <s v="16030600BH"/>
        <n v="2400171"/>
        <s v="1600C00139"/>
        <s v="327H59-3"/>
        <s v="327H19-5"/>
        <s v="1600A015BH"/>
        <s v="160312306W"/>
        <n v="2443402"/>
        <n v="2123158"/>
        <n v="2123590"/>
        <s v="EZ570017641(2123595)"/>
        <n v="2490447"/>
        <s v="1619P20963s"/>
        <s v="N449963-C2D1"/>
        <s v="N487842-C2D1"/>
        <s v="N687683-C2D1"/>
        <s v="N783372-C2D1"/>
        <s v="N820616-C2D1"/>
        <s v="N713645-C2D1"/>
        <s v="N331179-C2D1"/>
        <s v="1600a03r0k"/>
        <n v="1603123095"/>
        <n v="1603123096"/>
        <s v="1619P07715"/>
        <s v="1619P17035"/>
        <s v="C202603121-100"/>
        <s v="C202603121-49.2"/>
        <s v="1 600 A03 A6C"/>
        <s v="1 603 123 097"/>
        <s v="5UM-8185J-10"/>
        <s v="B97-8185J-00"/>
        <s v="CS2-8185J-84"/>
        <s v="CS5-8185J-C0"/>
        <s v="1600A012R9"/>
        <s v="1600A03N0B"/>
        <n v="623899001"/>
        <n v="1603060061"/>
        <n v="1603060060"/>
        <n v="1610390051"/>
        <n v="1610390068"/>
        <s v="160312305W"/>
        <n v="1613105012"/>
        <n v="1610311019"/>
        <s v="F000619060"/>
        <s v="F000619099"/>
        <s v="327J03-2"/>
        <n v="2023012"/>
        <n v="2002560"/>
        <s v="NA427821-C2D1"/>
        <s v="NA228470-C2D1"/>
        <s v="1619p33159"/>
        <s v="NB322054-C2D1"/>
        <n v="2609110216"/>
        <s v="1619P18824"/>
        <s v="1619P18825"/>
        <s v="1619P18826"/>
        <s v="1619P18827"/>
        <s v="1619P18832"/>
      </sharedItems>
    </cacheField>
    <cacheField name="最新客图版本" numFmtId="0">
      <sharedItems containsBlank="1" containsMixedTypes="1" containsNumber="1" count="28">
        <m/>
        <s v="/"/>
        <s v="AB"/>
        <s v="AA"/>
        <s v="01"/>
        <s v="05"/>
        <s v="03"/>
        <n v="2.4"/>
        <n v="0.1"/>
        <n v="1.7"/>
        <n v="0.14000000000000001"/>
        <n v="6.1"/>
        <n v="1.5"/>
        <n v="7.7"/>
        <n v="1"/>
        <n v="2"/>
        <s v="A"/>
        <s v="C"/>
        <s v="AC"/>
        <n v="0"/>
        <s v="AO"/>
        <s v="AH"/>
        <s v="AD"/>
        <s v="AE"/>
        <s v="AG"/>
        <s v="00"/>
        <n v="0.5"/>
        <n v="0.18"/>
      </sharedItems>
    </cacheField>
    <cacheField name="工序" numFmtId="0">
      <sharedItems containsBlank="1" count="29">
        <m/>
        <s v="车床-热处理-镗孔-VMI"/>
        <s v="车床-热处理-外圆磨-修面-VMI"/>
        <s v="车床-热处理-无心磨-VMI"/>
        <s v="车床-滚齿-热处理-磨1-磨2"/>
        <s v="车床-热处理-磨1-磨2"/>
        <s v="车床-热处理-镗孔"/>
        <s v="车床-滚花-滚齿-热处理-外圆磨-VMI"/>
        <s v="车床-热处理-VMI"/>
        <s v="车床-表面处理-VMI"/>
        <s v="车床-压筋-热处理-磨-VMI"/>
        <s v="车床-热处理-磨1-磨2-镗孔-VMI"/>
        <s v="车床-热处理-磨-VMI"/>
        <s v="车床-热处理-CG-滚抛-VMI"/>
        <s v="车床-热处理-内圆磨-发黑-VMI"/>
        <s v="车床-热处理-磨1-磨2-VMI"/>
        <s v="车床-热处理-磨-VMI_x000a_(整体外包)"/>
        <s v="车床-VMI"/>
        <s v="车床-热处理"/>
        <s v="车床-滚齿-热处理-外圆磨"/>
        <s v="车床-热处理-CG-珩磨-VMI"/>
        <s v="车床-热处理-CG-VMI"/>
        <s v="车床-热处理-CYG1-CYG2-VMI"/>
        <s v="车床(外包)-刻字-热处理-内圆磨-磷化-VMI-包装"/>
        <s v="车床-热处理-高频-CYG1-CYG2-镗孔-VMI"/>
        <s v="车床-热处理-镀锌-vmi"/>
        <s v="车床-钻孔-热处理-CYG1-CYG2-VMI"/>
        <s v="车床-热处理-CYG-VMI"/>
        <s v="车床-滚齿-热处理-CYG-剃齿-VMI"/>
      </sharedItems>
    </cacheField>
    <cacheField name="项目状态" numFmtId="0">
      <sharedItems containsBlank="1" count="5">
        <m/>
        <s v="样品交付"/>
        <s v="已转量产"/>
        <s v="样品制作"/>
        <s v="报价阶段"/>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9">
  <r>
    <x v="0"/>
    <x v="0"/>
    <x v="0"/>
    <x v="0"/>
    <x v="0"/>
    <x v="0"/>
    <x v="0"/>
  </r>
  <r>
    <x v="1"/>
    <x v="1"/>
    <x v="1"/>
    <x v="1"/>
    <x v="1"/>
    <x v="1"/>
    <x v="1"/>
  </r>
  <r>
    <x v="2"/>
    <x v="1"/>
    <x v="1"/>
    <x v="2"/>
    <x v="1"/>
    <x v="2"/>
    <x v="2"/>
  </r>
  <r>
    <x v="3"/>
    <x v="2"/>
    <x v="2"/>
    <x v="3"/>
    <x v="1"/>
    <x v="3"/>
    <x v="2"/>
  </r>
  <r>
    <x v="4"/>
    <x v="1"/>
    <x v="1"/>
    <x v="4"/>
    <x v="1"/>
    <x v="4"/>
    <x v="2"/>
  </r>
  <r>
    <x v="5"/>
    <x v="3"/>
    <x v="3"/>
    <x v="5"/>
    <x v="1"/>
    <x v="5"/>
    <x v="1"/>
  </r>
  <r>
    <x v="6"/>
    <x v="3"/>
    <x v="3"/>
    <x v="6"/>
    <x v="1"/>
    <x v="5"/>
    <x v="1"/>
  </r>
  <r>
    <x v="7"/>
    <x v="3"/>
    <x v="4"/>
    <x v="7"/>
    <x v="1"/>
    <x v="6"/>
    <x v="1"/>
  </r>
  <r>
    <x v="8"/>
    <x v="3"/>
    <x v="3"/>
    <x v="8"/>
    <x v="2"/>
    <x v="7"/>
    <x v="1"/>
  </r>
  <r>
    <x v="9"/>
    <x v="3"/>
    <x v="5"/>
    <x v="9"/>
    <x v="3"/>
    <x v="8"/>
    <x v="1"/>
  </r>
  <r>
    <x v="10"/>
    <x v="3"/>
    <x v="5"/>
    <x v="10"/>
    <x v="1"/>
    <x v="9"/>
    <x v="1"/>
  </r>
  <r>
    <x v="11"/>
    <x v="1"/>
    <x v="1"/>
    <x v="11"/>
    <x v="1"/>
    <x v="10"/>
    <x v="1"/>
  </r>
  <r>
    <x v="12"/>
    <x v="3"/>
    <x v="3"/>
    <x v="12"/>
    <x v="1"/>
    <x v="11"/>
    <x v="2"/>
  </r>
  <r>
    <x v="13"/>
    <x v="4"/>
    <x v="4"/>
    <x v="13"/>
    <x v="2"/>
    <x v="12"/>
    <x v="1"/>
  </r>
  <r>
    <x v="14"/>
    <x v="3"/>
    <x v="3"/>
    <x v="14"/>
    <x v="3"/>
    <x v="12"/>
    <x v="1"/>
  </r>
  <r>
    <x v="15"/>
    <x v="2"/>
    <x v="2"/>
    <x v="15"/>
    <x v="4"/>
    <x v="13"/>
    <x v="1"/>
  </r>
  <r>
    <x v="16"/>
    <x v="3"/>
    <x v="3"/>
    <x v="16"/>
    <x v="2"/>
    <x v="7"/>
    <x v="1"/>
  </r>
  <r>
    <x v="17"/>
    <x v="1"/>
    <x v="1"/>
    <x v="17"/>
    <x v="1"/>
    <x v="14"/>
    <x v="1"/>
  </r>
  <r>
    <x v="18"/>
    <x v="5"/>
    <x v="3"/>
    <x v="18"/>
    <x v="3"/>
    <x v="15"/>
    <x v="1"/>
  </r>
  <r>
    <x v="19"/>
    <x v="5"/>
    <x v="3"/>
    <x v="19"/>
    <x v="2"/>
    <x v="15"/>
    <x v="1"/>
  </r>
  <r>
    <x v="20"/>
    <x v="5"/>
    <x v="3"/>
    <x v="20"/>
    <x v="3"/>
    <x v="15"/>
    <x v="1"/>
  </r>
  <r>
    <x v="21"/>
    <x v="2"/>
    <x v="2"/>
    <x v="21"/>
    <x v="5"/>
    <x v="16"/>
    <x v="1"/>
  </r>
  <r>
    <x v="22"/>
    <x v="3"/>
    <x v="5"/>
    <x v="22"/>
    <x v="3"/>
    <x v="17"/>
    <x v="1"/>
  </r>
  <r>
    <x v="23"/>
    <x v="1"/>
    <x v="1"/>
    <x v="23"/>
    <x v="0"/>
    <x v="18"/>
    <x v="1"/>
  </r>
  <r>
    <x v="24"/>
    <x v="1"/>
    <x v="1"/>
    <x v="24"/>
    <x v="0"/>
    <x v="19"/>
    <x v="3"/>
  </r>
  <r>
    <x v="25"/>
    <x v="3"/>
    <x v="5"/>
    <x v="25"/>
    <x v="2"/>
    <x v="20"/>
    <x v="3"/>
  </r>
  <r>
    <x v="26"/>
    <x v="3"/>
    <x v="5"/>
    <x v="26"/>
    <x v="2"/>
    <x v="21"/>
    <x v="1"/>
  </r>
  <r>
    <x v="27"/>
    <x v="2"/>
    <x v="2"/>
    <x v="27"/>
    <x v="6"/>
    <x v="22"/>
    <x v="3"/>
  </r>
  <r>
    <x v="28"/>
    <x v="6"/>
    <x v="2"/>
    <x v="28"/>
    <x v="4"/>
    <x v="23"/>
    <x v="3"/>
  </r>
  <r>
    <x v="29"/>
    <x v="6"/>
    <x v="2"/>
    <x v="29"/>
    <x v="4"/>
    <x v="23"/>
    <x v="3"/>
  </r>
  <r>
    <x v="30"/>
    <x v="6"/>
    <x v="2"/>
    <x v="30"/>
    <x v="4"/>
    <x v="23"/>
    <x v="3"/>
  </r>
  <r>
    <x v="31"/>
    <x v="6"/>
    <x v="2"/>
    <x v="31"/>
    <x v="4"/>
    <x v="23"/>
    <x v="3"/>
  </r>
  <r>
    <x v="32"/>
    <x v="3"/>
    <x v="3"/>
    <x v="32"/>
    <x v="3"/>
    <x v="24"/>
    <x v="3"/>
  </r>
  <r>
    <x v="33"/>
    <x v="7"/>
    <x v="6"/>
    <x v="33"/>
    <x v="7"/>
    <x v="0"/>
    <x v="4"/>
  </r>
  <r>
    <x v="34"/>
    <x v="7"/>
    <x v="6"/>
    <x v="34"/>
    <x v="8"/>
    <x v="0"/>
    <x v="4"/>
  </r>
  <r>
    <x v="35"/>
    <x v="7"/>
    <x v="6"/>
    <x v="35"/>
    <x v="9"/>
    <x v="0"/>
    <x v="4"/>
  </r>
  <r>
    <x v="36"/>
    <x v="7"/>
    <x v="6"/>
    <x v="36"/>
    <x v="10"/>
    <x v="0"/>
    <x v="4"/>
  </r>
  <r>
    <x v="37"/>
    <x v="7"/>
    <x v="6"/>
    <x v="37"/>
    <x v="11"/>
    <x v="0"/>
    <x v="4"/>
  </r>
  <r>
    <x v="38"/>
    <x v="7"/>
    <x v="6"/>
    <x v="38"/>
    <x v="12"/>
    <x v="0"/>
    <x v="4"/>
  </r>
  <r>
    <x v="39"/>
    <x v="7"/>
    <x v="6"/>
    <x v="39"/>
    <x v="13"/>
    <x v="0"/>
    <x v="4"/>
  </r>
  <r>
    <x v="40"/>
    <x v="3"/>
    <x v="4"/>
    <x v="40"/>
    <x v="3"/>
    <x v="0"/>
    <x v="4"/>
  </r>
  <r>
    <x v="41"/>
    <x v="3"/>
    <x v="4"/>
    <x v="41"/>
    <x v="3"/>
    <x v="0"/>
    <x v="4"/>
  </r>
  <r>
    <x v="42"/>
    <x v="3"/>
    <x v="4"/>
    <x v="42"/>
    <x v="3"/>
    <x v="0"/>
    <x v="4"/>
  </r>
  <r>
    <x v="43"/>
    <x v="3"/>
    <x v="3"/>
    <x v="43"/>
    <x v="3"/>
    <x v="0"/>
    <x v="4"/>
  </r>
  <r>
    <x v="44"/>
    <x v="3"/>
    <x v="3"/>
    <x v="44"/>
    <x v="3"/>
    <x v="0"/>
    <x v="4"/>
  </r>
  <r>
    <x v="45"/>
    <x v="3"/>
    <x v="3"/>
    <x v="45"/>
    <x v="3"/>
    <x v="21"/>
    <x v="3"/>
  </r>
  <r>
    <x v="46"/>
    <x v="3"/>
    <x v="3"/>
    <x v="46"/>
    <x v="3"/>
    <x v="21"/>
    <x v="3"/>
  </r>
  <r>
    <x v="47"/>
    <x v="3"/>
    <x v="3"/>
    <x v="47"/>
    <x v="3"/>
    <x v="0"/>
    <x v="4"/>
  </r>
  <r>
    <x v="48"/>
    <x v="3"/>
    <x v="3"/>
    <x v="48"/>
    <x v="3"/>
    <x v="0"/>
    <x v="4"/>
  </r>
  <r>
    <x v="49"/>
    <x v="8"/>
    <x v="7"/>
    <x v="49"/>
    <x v="14"/>
    <x v="0"/>
    <x v="4"/>
  </r>
  <r>
    <x v="50"/>
    <x v="8"/>
    <x v="7"/>
    <x v="50"/>
    <x v="15"/>
    <x v="0"/>
    <x v="4"/>
  </r>
  <r>
    <x v="51"/>
    <x v="8"/>
    <x v="7"/>
    <x v="51"/>
    <x v="16"/>
    <x v="0"/>
    <x v="4"/>
  </r>
  <r>
    <x v="52"/>
    <x v="8"/>
    <x v="7"/>
    <x v="52"/>
    <x v="17"/>
    <x v="0"/>
    <x v="4"/>
  </r>
  <r>
    <x v="53"/>
    <x v="3"/>
    <x v="3"/>
    <x v="53"/>
    <x v="18"/>
    <x v="0"/>
    <x v="4"/>
  </r>
  <r>
    <x v="54"/>
    <x v="9"/>
    <x v="3"/>
    <x v="54"/>
    <x v="19"/>
    <x v="0"/>
    <x v="4"/>
  </r>
  <r>
    <x v="55"/>
    <x v="10"/>
    <x v="8"/>
    <x v="55"/>
    <x v="16"/>
    <x v="0"/>
    <x v="4"/>
  </r>
  <r>
    <x v="56"/>
    <x v="3"/>
    <x v="5"/>
    <x v="56"/>
    <x v="20"/>
    <x v="0"/>
    <x v="4"/>
  </r>
  <r>
    <x v="57"/>
    <x v="3"/>
    <x v="5"/>
    <x v="57"/>
    <x v="20"/>
    <x v="0"/>
    <x v="4"/>
  </r>
  <r>
    <x v="58"/>
    <x v="3"/>
    <x v="5"/>
    <x v="58"/>
    <x v="21"/>
    <x v="0"/>
    <x v="4"/>
  </r>
  <r>
    <x v="59"/>
    <x v="3"/>
    <x v="5"/>
    <x v="59"/>
    <x v="22"/>
    <x v="0"/>
    <x v="4"/>
  </r>
  <r>
    <x v="60"/>
    <x v="3"/>
    <x v="5"/>
    <x v="60"/>
    <x v="23"/>
    <x v="0"/>
    <x v="4"/>
  </r>
  <r>
    <x v="61"/>
    <x v="3"/>
    <x v="5"/>
    <x v="61"/>
    <x v="3"/>
    <x v="0"/>
    <x v="4"/>
  </r>
  <r>
    <x v="62"/>
    <x v="3"/>
    <x v="5"/>
    <x v="62"/>
    <x v="24"/>
    <x v="0"/>
    <x v="4"/>
  </r>
  <r>
    <x v="63"/>
    <x v="3"/>
    <x v="5"/>
    <x v="63"/>
    <x v="20"/>
    <x v="0"/>
    <x v="4"/>
  </r>
  <r>
    <x v="64"/>
    <x v="3"/>
    <x v="5"/>
    <x v="64"/>
    <x v="18"/>
    <x v="0"/>
    <x v="4"/>
  </r>
  <r>
    <x v="65"/>
    <x v="1"/>
    <x v="1"/>
    <x v="65"/>
    <x v="25"/>
    <x v="25"/>
    <x v="3"/>
  </r>
  <r>
    <x v="66"/>
    <x v="2"/>
    <x v="2"/>
    <x v="66"/>
    <x v="6"/>
    <x v="26"/>
    <x v="3"/>
  </r>
  <r>
    <x v="67"/>
    <x v="1"/>
    <x v="1"/>
    <x v="67"/>
    <x v="1"/>
    <x v="0"/>
    <x v="4"/>
  </r>
  <r>
    <x v="68"/>
    <x v="7"/>
    <x v="6"/>
    <x v="68"/>
    <x v="26"/>
    <x v="0"/>
    <x v="4"/>
  </r>
  <r>
    <x v="69"/>
    <x v="7"/>
    <x v="6"/>
    <x v="69"/>
    <x v="27"/>
    <x v="27"/>
    <x v="3"/>
  </r>
  <r>
    <x v="70"/>
    <x v="3"/>
    <x v="3"/>
    <x v="70"/>
    <x v="3"/>
    <x v="28"/>
    <x v="3"/>
  </r>
  <r>
    <x v="71"/>
    <x v="7"/>
    <x v="6"/>
    <x v="71"/>
    <x v="18"/>
    <x v="0"/>
    <x v="4"/>
  </r>
  <r>
    <x v="72"/>
    <x v="3"/>
    <x v="3"/>
    <x v="72"/>
    <x v="3"/>
    <x v="0"/>
    <x v="4"/>
  </r>
  <r>
    <x v="73"/>
    <x v="3"/>
    <x v="4"/>
    <x v="73"/>
    <x v="3"/>
    <x v="0"/>
    <x v="4"/>
  </r>
  <r>
    <x v="74"/>
    <x v="3"/>
    <x v="4"/>
    <x v="74"/>
    <x v="3"/>
    <x v="0"/>
    <x v="4"/>
  </r>
  <r>
    <x v="75"/>
    <x v="3"/>
    <x v="4"/>
    <x v="75"/>
    <x v="3"/>
    <x v="0"/>
    <x v="4"/>
  </r>
  <r>
    <x v="76"/>
    <x v="3"/>
    <x v="4"/>
    <x v="76"/>
    <x v="3"/>
    <x v="0"/>
    <x v="4"/>
  </r>
  <r>
    <x v="77"/>
    <x v="3"/>
    <x v="4"/>
    <x v="77"/>
    <x v="3"/>
    <x v="0"/>
    <x v="4"/>
  </r>
  <r>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数据透视表2" cacheId="0" applyNumberFormats="0" applyBorderFormats="0" applyFontFormats="0" applyPatternFormats="0" applyAlignmentFormats="0" applyWidthHeightFormats="1" dataCaption="值" updatedVersion="5" minRefreshableVersion="3" useAutoFormatting="1" createdVersion="8" indent="0" outline="1" outlineData="1" multipleFieldFilters="0">
  <location ref="A2:F14" firstHeaderRow="1" firstDataRow="2" firstDataCol="1"/>
  <pivotFields count="7">
    <pivotField showAll="0">
      <items count="7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0"/>
        <item t="default"/>
      </items>
    </pivotField>
    <pivotField axis="axisRow" showAll="0">
      <items count="12">
        <item x="7"/>
        <item x="3"/>
        <item x="2"/>
        <item x="1"/>
        <item x="10"/>
        <item x="8"/>
        <item x="4"/>
        <item x="6"/>
        <item x="5"/>
        <item x="9"/>
        <item x="0"/>
        <item t="default"/>
      </items>
    </pivotField>
    <pivotField showAll="0"/>
    <pivotField showAll="0"/>
    <pivotField showAll="0"/>
    <pivotField showAll="0"/>
    <pivotField axis="axisCol" dataField="1" showAll="0">
      <items count="6">
        <item x="4"/>
        <item x="1"/>
        <item x="3"/>
        <item x="2"/>
        <item h="1" x="0"/>
        <item t="default"/>
      </items>
    </pivotField>
  </pivotFields>
  <rowFields count="1">
    <field x="1"/>
  </rowFields>
  <rowItems count="11">
    <i>
      <x/>
    </i>
    <i>
      <x v="1"/>
    </i>
    <i>
      <x v="2"/>
    </i>
    <i>
      <x v="3"/>
    </i>
    <i>
      <x v="4"/>
    </i>
    <i>
      <x v="5"/>
    </i>
    <i>
      <x v="6"/>
    </i>
    <i>
      <x v="7"/>
    </i>
    <i>
      <x v="8"/>
    </i>
    <i>
      <x v="9"/>
    </i>
    <i t="grand">
      <x/>
    </i>
  </rowItems>
  <colFields count="1">
    <field x="6"/>
  </colFields>
  <colItems count="5">
    <i>
      <x/>
    </i>
    <i>
      <x v="1"/>
    </i>
    <i>
      <x v="2"/>
    </i>
    <i>
      <x v="3"/>
    </i>
    <i t="grand">
      <x/>
    </i>
  </colItems>
  <dataFields count="1">
    <dataField name="计数项:项目状态" fld="6" subtotal="count" baseField="0" baseItem="0"/>
  </dataFields>
  <pivotTableStyleInfo name="PivotStylePreset2_Accen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F14"/>
  <sheetViews>
    <sheetView workbookViewId="0">
      <selection activeCell="I12" sqref="I12"/>
    </sheetView>
  </sheetViews>
  <sheetFormatPr defaultColWidth="9" defaultRowHeight="14.4" x14ac:dyDescent="0.25"/>
  <cols>
    <col min="1" max="1" width="18.21875"/>
    <col min="2" max="5" width="9.88671875"/>
    <col min="6" max="6" width="5.77734375"/>
    <col min="7" max="7" width="5.77734375" customWidth="1"/>
  </cols>
  <sheetData>
    <row r="2" spans="1:6" x14ac:dyDescent="0.25">
      <c r="A2" t="s">
        <v>0</v>
      </c>
      <c r="B2" t="s">
        <v>1</v>
      </c>
    </row>
    <row r="3" spans="1:6" x14ac:dyDescent="0.25">
      <c r="A3" t="s">
        <v>2</v>
      </c>
      <c r="B3" t="s">
        <v>3</v>
      </c>
      <c r="C3" t="s">
        <v>4</v>
      </c>
      <c r="D3" t="s">
        <v>5</v>
      </c>
      <c r="E3" t="s">
        <v>6</v>
      </c>
      <c r="F3" t="s">
        <v>7</v>
      </c>
    </row>
    <row r="4" spans="1:6" x14ac:dyDescent="0.25">
      <c r="A4" s="107" t="s">
        <v>8</v>
      </c>
      <c r="B4">
        <v>9</v>
      </c>
      <c r="D4">
        <v>1</v>
      </c>
      <c r="F4">
        <v>10</v>
      </c>
    </row>
    <row r="5" spans="1:6" x14ac:dyDescent="0.25">
      <c r="A5" s="107" t="s">
        <v>9</v>
      </c>
      <c r="B5">
        <v>23</v>
      </c>
      <c r="C5">
        <v>10</v>
      </c>
      <c r="D5">
        <v>5</v>
      </c>
      <c r="E5">
        <v>1</v>
      </c>
      <c r="F5">
        <v>39</v>
      </c>
    </row>
    <row r="6" spans="1:6" x14ac:dyDescent="0.25">
      <c r="A6" s="107" t="s">
        <v>10</v>
      </c>
      <c r="C6">
        <v>2</v>
      </c>
      <c r="D6">
        <v>2</v>
      </c>
      <c r="E6">
        <v>1</v>
      </c>
      <c r="F6">
        <v>5</v>
      </c>
    </row>
    <row r="7" spans="1:6" x14ac:dyDescent="0.25">
      <c r="A7" s="107" t="s">
        <v>11</v>
      </c>
      <c r="B7">
        <v>1</v>
      </c>
      <c r="C7">
        <v>4</v>
      </c>
      <c r="D7">
        <v>2</v>
      </c>
      <c r="E7">
        <v>2</v>
      </c>
      <c r="F7">
        <v>9</v>
      </c>
    </row>
    <row r="8" spans="1:6" x14ac:dyDescent="0.25">
      <c r="A8" s="107" t="s">
        <v>12</v>
      </c>
      <c r="B8">
        <v>1</v>
      </c>
      <c r="F8">
        <v>1</v>
      </c>
    </row>
    <row r="9" spans="1:6" x14ac:dyDescent="0.25">
      <c r="A9" s="107" t="s">
        <v>13</v>
      </c>
      <c r="B9">
        <v>4</v>
      </c>
      <c r="F9">
        <v>4</v>
      </c>
    </row>
    <row r="10" spans="1:6" x14ac:dyDescent="0.25">
      <c r="A10" s="107" t="s">
        <v>14</v>
      </c>
      <c r="C10">
        <v>1</v>
      </c>
      <c r="F10">
        <v>1</v>
      </c>
    </row>
    <row r="11" spans="1:6" x14ac:dyDescent="0.25">
      <c r="A11" s="107" t="s">
        <v>15</v>
      </c>
      <c r="D11">
        <v>4</v>
      </c>
      <c r="F11">
        <v>4</v>
      </c>
    </row>
    <row r="12" spans="1:6" x14ac:dyDescent="0.25">
      <c r="A12" s="107" t="s">
        <v>16</v>
      </c>
      <c r="C12">
        <v>3</v>
      </c>
      <c r="F12">
        <v>3</v>
      </c>
    </row>
    <row r="13" spans="1:6" x14ac:dyDescent="0.25">
      <c r="A13" s="107" t="s">
        <v>17</v>
      </c>
      <c r="B13">
        <v>1</v>
      </c>
      <c r="F13">
        <v>1</v>
      </c>
    </row>
    <row r="14" spans="1:6" x14ac:dyDescent="0.25">
      <c r="A14" s="107" t="s">
        <v>7</v>
      </c>
      <c r="B14">
        <v>39</v>
      </c>
      <c r="C14">
        <v>20</v>
      </c>
      <c r="D14">
        <v>14</v>
      </c>
      <c r="E14">
        <v>4</v>
      </c>
      <c r="F14">
        <v>77</v>
      </c>
    </row>
  </sheetData>
  <phoneticPr fontId="4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AO125"/>
  <sheetViews>
    <sheetView tabSelected="1" zoomScale="85" zoomScaleNormal="85" workbookViewId="0">
      <pane xSplit="7" ySplit="2" topLeftCell="M3" activePane="bottomRight" state="frozen"/>
      <selection pane="topRight"/>
      <selection pane="bottomLeft"/>
      <selection pane="bottomRight" activeCell="M13" sqref="M13"/>
    </sheetView>
  </sheetViews>
  <sheetFormatPr defaultColWidth="7.33203125" defaultRowHeight="13.2" outlineLevelCol="1" x14ac:dyDescent="0.25"/>
  <cols>
    <col min="1" max="1" width="4.21875" style="52" customWidth="1"/>
    <col min="2" max="3" width="8.21875" style="53" customWidth="1"/>
    <col min="4" max="4" width="22.109375" style="54" customWidth="1"/>
    <col min="5" max="5" width="10" style="54" customWidth="1"/>
    <col min="6" max="6" width="28.44140625" style="55" customWidth="1"/>
    <col min="7" max="7" width="9.88671875" style="53" customWidth="1"/>
    <col min="8" max="9" width="10" style="56" customWidth="1"/>
    <col min="10" max="10" width="40.6640625" style="54" customWidth="1"/>
    <col min="11" max="11" width="10.33203125" style="57" customWidth="1"/>
    <col min="12" max="14" width="10" style="52" customWidth="1"/>
    <col min="15" max="16" width="7.109375" style="54" customWidth="1"/>
    <col min="17" max="17" width="12.44140625" style="58" customWidth="1"/>
    <col min="18" max="18" width="14.44140625" style="59" customWidth="1" outlineLevel="1"/>
    <col min="19" max="19" width="10.109375" style="53" customWidth="1" outlineLevel="1"/>
    <col min="20" max="20" width="11.5546875" style="59" customWidth="1" outlineLevel="1"/>
    <col min="21" max="21" width="11.5546875" style="52" customWidth="1" outlineLevel="1"/>
    <col min="22" max="22" width="21.33203125" style="52" customWidth="1" outlineLevel="1"/>
    <col min="23" max="23" width="11.5546875" style="52" customWidth="1" outlineLevel="1"/>
    <col min="24" max="24" width="8.6640625" style="55" customWidth="1" outlineLevel="1"/>
    <col min="25" max="25" width="11.5546875" style="55" customWidth="1"/>
    <col min="26" max="26" width="14.44140625" style="60" hidden="1" customWidth="1" outlineLevel="1"/>
    <col min="27" max="27" width="11.5546875" style="55" hidden="1" customWidth="1" outlineLevel="1"/>
    <col min="28" max="28" width="14.44140625" style="60" hidden="1" customWidth="1" outlineLevel="1"/>
    <col min="29" max="29" width="11.5546875" style="55" hidden="1" customWidth="1" outlineLevel="1"/>
    <col min="30" max="30" width="14.44140625" style="55" hidden="1" customWidth="1" outlineLevel="1"/>
    <col min="31" max="31" width="11.5546875" style="55" hidden="1" customWidth="1" outlineLevel="1"/>
    <col min="32" max="32" width="8.6640625" style="55" hidden="1" customWidth="1" outlineLevel="1"/>
    <col min="33" max="33" width="11.5546875" style="55" customWidth="1" collapsed="1"/>
    <col min="34" max="34" width="14.44140625" style="60" hidden="1" customWidth="1" outlineLevel="1"/>
    <col min="35" max="35" width="11.5546875" style="55" hidden="1" customWidth="1" outlineLevel="1"/>
    <col min="36" max="36" width="14.44140625" style="60" hidden="1" customWidth="1" outlineLevel="1"/>
    <col min="37" max="37" width="11.5546875" style="55" hidden="1" customWidth="1" outlineLevel="1"/>
    <col min="38" max="38" width="14.44140625" style="55" hidden="1" customWidth="1" outlineLevel="1"/>
    <col min="39" max="39" width="11.5546875" style="55" hidden="1" customWidth="1" outlineLevel="1"/>
    <col min="40" max="40" width="8.6640625" style="55" hidden="1" customWidth="1" outlineLevel="1"/>
    <col min="41" max="41" width="50.21875" style="55" customWidth="1" collapsed="1"/>
    <col min="42" max="16382" width="7.33203125" style="52" customWidth="1"/>
    <col min="16383" max="16384" width="7.33203125" style="52"/>
  </cols>
  <sheetData>
    <row r="1" spans="1:41" s="50" customFormat="1" x14ac:dyDescent="0.25">
      <c r="A1" s="110" t="s">
        <v>18</v>
      </c>
      <c r="B1" s="109" t="s">
        <v>19</v>
      </c>
      <c r="C1" s="109" t="s">
        <v>20</v>
      </c>
      <c r="D1" s="109" t="s">
        <v>21</v>
      </c>
      <c r="E1" s="109" t="s">
        <v>22</v>
      </c>
      <c r="F1" s="109" t="s">
        <v>23</v>
      </c>
      <c r="G1" s="109" t="s">
        <v>24</v>
      </c>
      <c r="H1" s="111" t="s">
        <v>25</v>
      </c>
      <c r="I1" s="111" t="s">
        <v>26</v>
      </c>
      <c r="J1" s="109" t="s">
        <v>27</v>
      </c>
      <c r="K1" s="112" t="s">
        <v>28</v>
      </c>
      <c r="L1" s="109" t="s">
        <v>29</v>
      </c>
      <c r="M1" s="109" t="s">
        <v>30</v>
      </c>
      <c r="N1" s="109" t="s">
        <v>31</v>
      </c>
      <c r="O1" s="109" t="s">
        <v>32</v>
      </c>
      <c r="P1" s="109" t="s">
        <v>33</v>
      </c>
      <c r="Q1" s="109" t="s">
        <v>34</v>
      </c>
      <c r="R1" s="109"/>
      <c r="S1" s="109"/>
      <c r="T1" s="109"/>
      <c r="U1" s="109"/>
      <c r="V1" s="109"/>
      <c r="W1" s="109"/>
      <c r="X1" s="109"/>
      <c r="Y1" s="109" t="s">
        <v>35</v>
      </c>
      <c r="Z1" s="109"/>
      <c r="AA1" s="109"/>
      <c r="AB1" s="109"/>
      <c r="AC1" s="109"/>
      <c r="AD1" s="109"/>
      <c r="AE1" s="109"/>
      <c r="AF1" s="109"/>
      <c r="AG1" s="109" t="s">
        <v>36</v>
      </c>
      <c r="AH1" s="109"/>
      <c r="AI1" s="109"/>
      <c r="AJ1" s="109"/>
      <c r="AK1" s="109"/>
      <c r="AL1" s="109"/>
      <c r="AM1" s="109"/>
      <c r="AN1" s="109"/>
      <c r="AO1" s="109" t="s">
        <v>37</v>
      </c>
    </row>
    <row r="2" spans="1:41" s="51" customFormat="1" x14ac:dyDescent="0.25">
      <c r="A2" s="110"/>
      <c r="B2" s="109"/>
      <c r="C2" s="109"/>
      <c r="D2" s="109"/>
      <c r="E2" s="109"/>
      <c r="F2" s="109"/>
      <c r="G2" s="109"/>
      <c r="H2" s="111"/>
      <c r="I2" s="111"/>
      <c r="J2" s="109"/>
      <c r="K2" s="112"/>
      <c r="L2" s="109"/>
      <c r="M2" s="109"/>
      <c r="N2" s="109"/>
      <c r="O2" s="109"/>
      <c r="P2" s="109"/>
      <c r="Q2" s="61" t="s">
        <v>38</v>
      </c>
      <c r="R2" s="62" t="s">
        <v>39</v>
      </c>
      <c r="S2" s="61" t="s">
        <v>40</v>
      </c>
      <c r="T2" s="62" t="s">
        <v>41</v>
      </c>
      <c r="U2" s="61" t="s">
        <v>42</v>
      </c>
      <c r="V2" s="61" t="s">
        <v>43</v>
      </c>
      <c r="W2" s="61" t="s">
        <v>44</v>
      </c>
      <c r="X2" s="61" t="s">
        <v>27</v>
      </c>
      <c r="Y2" s="61" t="s">
        <v>38</v>
      </c>
      <c r="Z2" s="62" t="s">
        <v>39</v>
      </c>
      <c r="AA2" s="61" t="s">
        <v>40</v>
      </c>
      <c r="AB2" s="62" t="s">
        <v>41</v>
      </c>
      <c r="AC2" s="61" t="s">
        <v>42</v>
      </c>
      <c r="AD2" s="61" t="s">
        <v>43</v>
      </c>
      <c r="AE2" s="61" t="s">
        <v>44</v>
      </c>
      <c r="AF2" s="61" t="s">
        <v>27</v>
      </c>
      <c r="AG2" s="61" t="s">
        <v>38</v>
      </c>
      <c r="AH2" s="62" t="s">
        <v>39</v>
      </c>
      <c r="AI2" s="61" t="s">
        <v>40</v>
      </c>
      <c r="AJ2" s="62" t="s">
        <v>41</v>
      </c>
      <c r="AK2" s="61" t="s">
        <v>42</v>
      </c>
      <c r="AL2" s="61" t="s">
        <v>43</v>
      </c>
      <c r="AM2" s="61" t="s">
        <v>44</v>
      </c>
      <c r="AN2" s="61" t="s">
        <v>27</v>
      </c>
      <c r="AO2" s="109"/>
    </row>
    <row r="3" spans="1:41" ht="26.4" x14ac:dyDescent="0.25">
      <c r="A3" s="63">
        <v>1</v>
      </c>
      <c r="B3" s="64" t="s">
        <v>11</v>
      </c>
      <c r="C3" s="64" t="s">
        <v>11</v>
      </c>
      <c r="D3" s="65" t="s">
        <v>45</v>
      </c>
      <c r="E3" s="66" t="s">
        <v>46</v>
      </c>
      <c r="F3" s="67" t="s">
        <v>47</v>
      </c>
      <c r="G3" s="68" t="s">
        <v>4</v>
      </c>
      <c r="H3" s="69" t="s">
        <v>46</v>
      </c>
      <c r="I3" s="69" t="s">
        <v>46</v>
      </c>
      <c r="J3" s="65"/>
      <c r="K3" s="70">
        <v>15480</v>
      </c>
      <c r="L3" s="71" t="s">
        <v>46</v>
      </c>
      <c r="M3" s="71" t="s">
        <v>48</v>
      </c>
      <c r="N3" s="71"/>
      <c r="O3" s="66" t="s">
        <v>49</v>
      </c>
      <c r="P3" s="66" t="s">
        <v>50</v>
      </c>
      <c r="Q3" s="66" t="s">
        <v>51</v>
      </c>
      <c r="R3" s="72">
        <v>46048</v>
      </c>
      <c r="S3" s="66">
        <v>300</v>
      </c>
      <c r="T3" s="72" t="s">
        <v>46</v>
      </c>
      <c r="U3" s="71" t="s">
        <v>46</v>
      </c>
      <c r="V3" s="73" t="str">
        <f t="shared" ref="V3:V14" si="0">IFERROR(IF(T3="","",IF(R3&gt;T3,"提前"&amp;R3-T3&amp;"天交付",IF(R3&lt;T3,"延误"&amp;T3-R3&amp;"天交付","准时交付"))),"")</f>
        <v/>
      </c>
      <c r="W3" s="71"/>
      <c r="X3" s="74"/>
      <c r="Y3" s="66" t="s">
        <v>52</v>
      </c>
      <c r="Z3" s="72">
        <v>46086</v>
      </c>
      <c r="AA3" s="66" t="s">
        <v>46</v>
      </c>
      <c r="AB3" s="72">
        <v>46086</v>
      </c>
      <c r="AC3" s="66" t="s">
        <v>46</v>
      </c>
      <c r="AD3" s="66" t="s">
        <v>53</v>
      </c>
      <c r="AE3" s="66" t="s">
        <v>54</v>
      </c>
      <c r="AF3" s="74"/>
      <c r="AG3" s="74"/>
      <c r="AH3" s="75"/>
      <c r="AI3" s="74"/>
      <c r="AJ3" s="75"/>
      <c r="AK3" s="74"/>
      <c r="AL3" s="74"/>
      <c r="AM3" s="74"/>
      <c r="AN3" s="74"/>
      <c r="AO3" s="67" t="s">
        <v>55</v>
      </c>
    </row>
    <row r="4" spans="1:41" ht="26.4" x14ac:dyDescent="0.25">
      <c r="A4" s="63">
        <v>2</v>
      </c>
      <c r="B4" s="64" t="s">
        <v>11</v>
      </c>
      <c r="C4" s="64" t="s">
        <v>11</v>
      </c>
      <c r="D4" s="76" t="s">
        <v>56</v>
      </c>
      <c r="E4" s="66" t="s">
        <v>46</v>
      </c>
      <c r="F4" s="77" t="s">
        <v>57</v>
      </c>
      <c r="G4" s="78" t="s">
        <v>6</v>
      </c>
      <c r="H4" s="69" t="s">
        <v>46</v>
      </c>
      <c r="I4" s="69" t="s">
        <v>46</v>
      </c>
      <c r="J4" s="65"/>
      <c r="K4" s="79" t="s">
        <v>46</v>
      </c>
      <c r="L4" s="64" t="s">
        <v>46</v>
      </c>
      <c r="M4" s="71" t="s">
        <v>46</v>
      </c>
      <c r="N4" s="71"/>
      <c r="O4" s="66" t="s">
        <v>58</v>
      </c>
      <c r="P4" s="66" t="s">
        <v>46</v>
      </c>
      <c r="Q4" s="66" t="s">
        <v>59</v>
      </c>
      <c r="R4" s="72">
        <v>46016</v>
      </c>
      <c r="S4" s="66">
        <v>1300</v>
      </c>
      <c r="T4" s="72" t="s">
        <v>46</v>
      </c>
      <c r="U4" s="64" t="s">
        <v>46</v>
      </c>
      <c r="V4" s="73" t="str">
        <f t="shared" si="0"/>
        <v/>
      </c>
      <c r="W4" s="64"/>
      <c r="X4" s="80"/>
      <c r="Y4" s="80"/>
      <c r="Z4" s="81"/>
      <c r="AA4" s="80"/>
      <c r="AB4" s="81"/>
      <c r="AC4" s="80"/>
      <c r="AD4" s="80"/>
      <c r="AE4" s="80"/>
      <c r="AF4" s="80"/>
      <c r="AG4" s="80"/>
      <c r="AH4" s="81"/>
      <c r="AI4" s="80"/>
      <c r="AJ4" s="81"/>
      <c r="AK4" s="80"/>
      <c r="AL4" s="80"/>
      <c r="AM4" s="80"/>
      <c r="AN4" s="80"/>
      <c r="AO4" s="77" t="s">
        <v>46</v>
      </c>
    </row>
    <row r="5" spans="1:41" x14ac:dyDescent="0.25">
      <c r="A5" s="63">
        <v>3</v>
      </c>
      <c r="B5" s="64" t="s">
        <v>10</v>
      </c>
      <c r="C5" s="64" t="s">
        <v>10</v>
      </c>
      <c r="D5" s="76">
        <v>26010</v>
      </c>
      <c r="E5" s="66" t="s">
        <v>46</v>
      </c>
      <c r="F5" s="77" t="s">
        <v>60</v>
      </c>
      <c r="G5" s="78" t="s">
        <v>6</v>
      </c>
      <c r="H5" s="69" t="s">
        <v>46</v>
      </c>
      <c r="I5" s="69" t="s">
        <v>46</v>
      </c>
      <c r="J5" s="65"/>
      <c r="K5" s="79" t="s">
        <v>46</v>
      </c>
      <c r="L5" s="64" t="s">
        <v>46</v>
      </c>
      <c r="M5" s="71" t="s">
        <v>46</v>
      </c>
      <c r="N5" s="71"/>
      <c r="O5" s="66" t="s">
        <v>58</v>
      </c>
      <c r="P5" s="66" t="s">
        <v>46</v>
      </c>
      <c r="Q5" s="66">
        <v>100</v>
      </c>
      <c r="R5" s="72">
        <v>46044</v>
      </c>
      <c r="S5" s="66">
        <v>150</v>
      </c>
      <c r="T5" s="72" t="s">
        <v>46</v>
      </c>
      <c r="U5" s="64" t="s">
        <v>46</v>
      </c>
      <c r="V5" s="73" t="str">
        <f t="shared" si="0"/>
        <v/>
      </c>
      <c r="W5" s="64"/>
      <c r="X5" s="82"/>
      <c r="Y5" s="82"/>
      <c r="Z5" s="83"/>
      <c r="AA5" s="82"/>
      <c r="AB5" s="83"/>
      <c r="AC5" s="82"/>
      <c r="AD5" s="82"/>
      <c r="AE5" s="82"/>
      <c r="AF5" s="82"/>
      <c r="AG5" s="82"/>
      <c r="AH5" s="83"/>
      <c r="AI5" s="82"/>
      <c r="AJ5" s="83"/>
      <c r="AK5" s="82"/>
      <c r="AL5" s="82"/>
      <c r="AM5" s="82"/>
      <c r="AN5" s="82"/>
      <c r="AO5" s="77" t="s">
        <v>46</v>
      </c>
    </row>
    <row r="6" spans="1:41" ht="26.4" x14ac:dyDescent="0.25">
      <c r="A6" s="63">
        <v>4</v>
      </c>
      <c r="B6" s="64" t="s">
        <v>11</v>
      </c>
      <c r="C6" s="64" t="s">
        <v>11</v>
      </c>
      <c r="D6" s="76" t="s">
        <v>61</v>
      </c>
      <c r="E6" s="66" t="s">
        <v>46</v>
      </c>
      <c r="F6" s="77" t="s">
        <v>62</v>
      </c>
      <c r="G6" s="78" t="s">
        <v>6</v>
      </c>
      <c r="H6" s="69" t="s">
        <v>46</v>
      </c>
      <c r="I6" s="69" t="s">
        <v>46</v>
      </c>
      <c r="J6" s="65"/>
      <c r="K6" s="79">
        <v>47000</v>
      </c>
      <c r="L6" s="64" t="s">
        <v>46</v>
      </c>
      <c r="M6" s="71">
        <v>2026.3</v>
      </c>
      <c r="N6" s="71"/>
      <c r="O6" s="66" t="s">
        <v>49</v>
      </c>
      <c r="P6" s="66" t="s">
        <v>63</v>
      </c>
      <c r="Q6" s="66" t="s">
        <v>64</v>
      </c>
      <c r="R6" s="72">
        <v>46031</v>
      </c>
      <c r="S6" s="66">
        <v>2300</v>
      </c>
      <c r="T6" s="72" t="s">
        <v>46</v>
      </c>
      <c r="U6" s="64" t="s">
        <v>46</v>
      </c>
      <c r="V6" s="73" t="str">
        <f t="shared" si="0"/>
        <v/>
      </c>
      <c r="W6" s="64"/>
      <c r="X6" s="66" t="s">
        <v>65</v>
      </c>
      <c r="Y6" s="82"/>
      <c r="Z6" s="83"/>
      <c r="AA6" s="82"/>
      <c r="AB6" s="83"/>
      <c r="AC6" s="82"/>
      <c r="AD6" s="82"/>
      <c r="AE6" s="82"/>
      <c r="AF6" s="82"/>
      <c r="AG6" s="82"/>
      <c r="AH6" s="83"/>
      <c r="AI6" s="82"/>
      <c r="AJ6" s="83"/>
      <c r="AK6" s="82"/>
      <c r="AL6" s="82"/>
      <c r="AM6" s="82"/>
      <c r="AN6" s="82"/>
      <c r="AO6" s="77" t="s">
        <v>63</v>
      </c>
    </row>
    <row r="7" spans="1:41" x14ac:dyDescent="0.25">
      <c r="A7" s="63">
        <v>5</v>
      </c>
      <c r="B7" s="71" t="s">
        <v>9</v>
      </c>
      <c r="C7" s="71" t="s">
        <v>66</v>
      </c>
      <c r="D7" s="76" t="s">
        <v>67</v>
      </c>
      <c r="E7" s="66" t="s">
        <v>46</v>
      </c>
      <c r="F7" s="67" t="s">
        <v>68</v>
      </c>
      <c r="G7" s="68" t="s">
        <v>4</v>
      </c>
      <c r="H7" s="69" t="s">
        <v>46</v>
      </c>
      <c r="I7" s="69" t="s">
        <v>46</v>
      </c>
      <c r="J7" s="65"/>
      <c r="K7" s="70">
        <v>100000</v>
      </c>
      <c r="L7" s="71" t="s">
        <v>46</v>
      </c>
      <c r="M7" s="71" t="s">
        <v>48</v>
      </c>
      <c r="N7" s="71"/>
      <c r="O7" s="66" t="s">
        <v>58</v>
      </c>
      <c r="P7" s="66" t="s">
        <v>69</v>
      </c>
      <c r="Q7" s="66" t="s">
        <v>70</v>
      </c>
      <c r="R7" s="72">
        <v>46050</v>
      </c>
      <c r="S7" s="66">
        <v>150</v>
      </c>
      <c r="T7" s="72" t="s">
        <v>46</v>
      </c>
      <c r="U7" s="71" t="s">
        <v>46</v>
      </c>
      <c r="V7" s="73" t="str">
        <f t="shared" si="0"/>
        <v/>
      </c>
      <c r="W7" s="71"/>
      <c r="X7" s="74"/>
      <c r="Y7" s="74"/>
      <c r="Z7" s="75"/>
      <c r="AA7" s="74"/>
      <c r="AB7" s="75"/>
      <c r="AC7" s="74"/>
      <c r="AD7" s="74"/>
      <c r="AE7" s="74"/>
      <c r="AF7" s="74"/>
      <c r="AG7" s="74"/>
      <c r="AH7" s="75"/>
      <c r="AI7" s="74"/>
      <c r="AJ7" s="75"/>
      <c r="AK7" s="74"/>
      <c r="AL7" s="74"/>
      <c r="AM7" s="74"/>
      <c r="AN7" s="74"/>
      <c r="AO7" s="67" t="s">
        <v>71</v>
      </c>
    </row>
    <row r="8" spans="1:41" x14ac:dyDescent="0.25">
      <c r="A8" s="63">
        <v>6</v>
      </c>
      <c r="B8" s="71" t="s">
        <v>9</v>
      </c>
      <c r="C8" s="71" t="s">
        <v>66</v>
      </c>
      <c r="D8" s="76" t="s">
        <v>72</v>
      </c>
      <c r="E8" s="66" t="s">
        <v>46</v>
      </c>
      <c r="F8" s="77" t="s">
        <v>68</v>
      </c>
      <c r="G8" s="68" t="s">
        <v>4</v>
      </c>
      <c r="H8" s="69" t="s">
        <v>46</v>
      </c>
      <c r="I8" s="69" t="s">
        <v>46</v>
      </c>
      <c r="J8" s="65"/>
      <c r="K8" s="79">
        <v>8000</v>
      </c>
      <c r="L8" s="71" t="s">
        <v>46</v>
      </c>
      <c r="M8" s="71" t="s">
        <v>48</v>
      </c>
      <c r="N8" s="71"/>
      <c r="O8" s="66" t="s">
        <v>58</v>
      </c>
      <c r="P8" s="66" t="s">
        <v>69</v>
      </c>
      <c r="Q8" s="66">
        <v>150</v>
      </c>
      <c r="R8" s="72">
        <v>46053</v>
      </c>
      <c r="S8" s="66">
        <v>250</v>
      </c>
      <c r="T8" s="72" t="s">
        <v>46</v>
      </c>
      <c r="U8" s="71" t="s">
        <v>46</v>
      </c>
      <c r="V8" s="73" t="str">
        <f t="shared" si="0"/>
        <v/>
      </c>
      <c r="W8" s="84"/>
      <c r="X8" s="82"/>
      <c r="Y8" s="74"/>
      <c r="Z8" s="75"/>
      <c r="AA8" s="74"/>
      <c r="AB8" s="75"/>
      <c r="AC8" s="74"/>
      <c r="AD8" s="74"/>
      <c r="AE8" s="74"/>
      <c r="AF8" s="74"/>
      <c r="AG8" s="74"/>
      <c r="AH8" s="75"/>
      <c r="AI8" s="74"/>
      <c r="AJ8" s="75"/>
      <c r="AK8" s="74"/>
      <c r="AL8" s="74"/>
      <c r="AM8" s="74"/>
      <c r="AN8" s="74"/>
      <c r="AO8" s="67" t="s">
        <v>71</v>
      </c>
    </row>
    <row r="9" spans="1:41" x14ac:dyDescent="0.25">
      <c r="A9" s="63">
        <v>7</v>
      </c>
      <c r="B9" s="71" t="s">
        <v>9</v>
      </c>
      <c r="C9" s="71" t="s">
        <v>9</v>
      </c>
      <c r="D9" s="76" t="s">
        <v>73</v>
      </c>
      <c r="E9" s="66" t="s">
        <v>46</v>
      </c>
      <c r="F9" s="67" t="s">
        <v>74</v>
      </c>
      <c r="G9" s="68" t="s">
        <v>4</v>
      </c>
      <c r="H9" s="69" t="s">
        <v>46</v>
      </c>
      <c r="I9" s="69" t="s">
        <v>46</v>
      </c>
      <c r="J9" s="65"/>
      <c r="K9" s="70">
        <v>20000</v>
      </c>
      <c r="L9" s="71" t="s">
        <v>46</v>
      </c>
      <c r="M9" s="71" t="s">
        <v>48</v>
      </c>
      <c r="N9" s="71"/>
      <c r="O9" s="66" t="s">
        <v>58</v>
      </c>
      <c r="P9" s="66" t="s">
        <v>69</v>
      </c>
      <c r="Q9" s="66">
        <v>100</v>
      </c>
      <c r="R9" s="72">
        <v>46050</v>
      </c>
      <c r="S9" s="66">
        <v>200</v>
      </c>
      <c r="T9" s="72" t="s">
        <v>46</v>
      </c>
      <c r="U9" s="71" t="s">
        <v>46</v>
      </c>
      <c r="V9" s="73" t="str">
        <f t="shared" si="0"/>
        <v/>
      </c>
      <c r="W9" s="84"/>
      <c r="X9" s="74"/>
      <c r="Y9" s="74"/>
      <c r="Z9" s="75"/>
      <c r="AA9" s="74"/>
      <c r="AB9" s="75"/>
      <c r="AC9" s="74"/>
      <c r="AD9" s="74"/>
      <c r="AE9" s="74"/>
      <c r="AF9" s="74"/>
      <c r="AG9" s="74"/>
      <c r="AH9" s="75"/>
      <c r="AI9" s="74"/>
      <c r="AJ9" s="75"/>
      <c r="AK9" s="74"/>
      <c r="AL9" s="74"/>
      <c r="AM9" s="74"/>
      <c r="AN9" s="74"/>
      <c r="AO9" s="67" t="s">
        <v>71</v>
      </c>
    </row>
    <row r="10" spans="1:41" x14ac:dyDescent="0.25">
      <c r="A10" s="63">
        <v>8</v>
      </c>
      <c r="B10" s="71" t="s">
        <v>9</v>
      </c>
      <c r="C10" s="71" t="s">
        <v>66</v>
      </c>
      <c r="D10" s="76" t="s">
        <v>75</v>
      </c>
      <c r="E10" s="66" t="s">
        <v>76</v>
      </c>
      <c r="F10" s="67" t="s">
        <v>77</v>
      </c>
      <c r="G10" s="68" t="s">
        <v>4</v>
      </c>
      <c r="H10" s="69" t="s">
        <v>46</v>
      </c>
      <c r="I10" s="69" t="s">
        <v>46</v>
      </c>
      <c r="J10" s="65"/>
      <c r="K10" s="70">
        <v>30000</v>
      </c>
      <c r="L10" s="71" t="s">
        <v>46</v>
      </c>
      <c r="M10" s="71" t="s">
        <v>48</v>
      </c>
      <c r="N10" s="71"/>
      <c r="O10" s="66" t="s">
        <v>58</v>
      </c>
      <c r="P10" s="66" t="s">
        <v>69</v>
      </c>
      <c r="Q10" s="66" t="s">
        <v>78</v>
      </c>
      <c r="R10" s="72">
        <v>46091</v>
      </c>
      <c r="S10" s="66">
        <v>200</v>
      </c>
      <c r="T10" s="72">
        <v>46091</v>
      </c>
      <c r="U10" s="85" t="s">
        <v>79</v>
      </c>
      <c r="V10" s="73" t="str">
        <f t="shared" si="0"/>
        <v>准时交付</v>
      </c>
      <c r="W10" s="84"/>
      <c r="X10" s="74"/>
      <c r="Y10" s="74"/>
      <c r="Z10" s="75"/>
      <c r="AA10" s="74"/>
      <c r="AB10" s="75"/>
      <c r="AC10" s="74"/>
      <c r="AD10" s="74"/>
      <c r="AE10" s="74"/>
      <c r="AF10" s="74"/>
      <c r="AG10" s="74"/>
      <c r="AH10" s="75"/>
      <c r="AI10" s="74"/>
      <c r="AJ10" s="75"/>
      <c r="AK10" s="74"/>
      <c r="AL10" s="74"/>
      <c r="AM10" s="74"/>
      <c r="AN10" s="74"/>
      <c r="AO10" s="67" t="s">
        <v>71</v>
      </c>
    </row>
    <row r="11" spans="1:41" ht="34.200000000000003" x14ac:dyDescent="0.25">
      <c r="A11" s="63">
        <v>9</v>
      </c>
      <c r="B11" s="71" t="s">
        <v>9</v>
      </c>
      <c r="C11" s="71" t="s">
        <v>80</v>
      </c>
      <c r="D11" s="76" t="s">
        <v>81</v>
      </c>
      <c r="E11" s="66" t="s">
        <v>82</v>
      </c>
      <c r="F11" s="67" t="s">
        <v>83</v>
      </c>
      <c r="G11" s="68" t="s">
        <v>4</v>
      </c>
      <c r="H11" s="69" t="s">
        <v>46</v>
      </c>
      <c r="I11" s="69" t="s">
        <v>46</v>
      </c>
      <c r="J11" s="65"/>
      <c r="K11" s="70">
        <v>66000</v>
      </c>
      <c r="L11" s="71" t="s">
        <v>46</v>
      </c>
      <c r="M11" s="71" t="s">
        <v>48</v>
      </c>
      <c r="N11" s="71"/>
      <c r="O11" s="66" t="s">
        <v>58</v>
      </c>
      <c r="P11" s="66" t="s">
        <v>84</v>
      </c>
      <c r="Q11" s="66">
        <v>15</v>
      </c>
      <c r="R11" s="72">
        <v>46066</v>
      </c>
      <c r="S11" s="66">
        <v>50</v>
      </c>
      <c r="T11" s="72" t="s">
        <v>46</v>
      </c>
      <c r="U11" s="71" t="s">
        <v>46</v>
      </c>
      <c r="V11" s="73" t="str">
        <f t="shared" si="0"/>
        <v/>
      </c>
      <c r="W11" s="86" t="s">
        <v>85</v>
      </c>
      <c r="X11" s="74"/>
      <c r="Y11" s="74"/>
      <c r="Z11" s="75"/>
      <c r="AA11" s="74"/>
      <c r="AB11" s="75"/>
      <c r="AC11" s="74"/>
      <c r="AD11" s="74"/>
      <c r="AE11" s="74"/>
      <c r="AF11" s="74"/>
      <c r="AG11" s="74"/>
      <c r="AH11" s="75"/>
      <c r="AI11" s="74"/>
      <c r="AJ11" s="75"/>
      <c r="AK11" s="74"/>
      <c r="AL11" s="74"/>
      <c r="AM11" s="74"/>
      <c r="AN11" s="74"/>
      <c r="AO11" s="67" t="s">
        <v>86</v>
      </c>
    </row>
    <row r="12" spans="1:41" x14ac:dyDescent="0.25">
      <c r="A12" s="63">
        <v>10</v>
      </c>
      <c r="B12" s="71" t="s">
        <v>9</v>
      </c>
      <c r="C12" s="71" t="s">
        <v>80</v>
      </c>
      <c r="D12" s="76" t="s">
        <v>87</v>
      </c>
      <c r="E12" s="66" t="s">
        <v>46</v>
      </c>
      <c r="F12" s="67" t="s">
        <v>88</v>
      </c>
      <c r="G12" s="68" t="s">
        <v>4</v>
      </c>
      <c r="H12" s="69" t="s">
        <v>46</v>
      </c>
      <c r="I12" s="69" t="s">
        <v>46</v>
      </c>
      <c r="J12" s="65"/>
      <c r="K12" s="70">
        <v>16000</v>
      </c>
      <c r="L12" s="71" t="s">
        <v>46</v>
      </c>
      <c r="M12" s="71" t="s">
        <v>48</v>
      </c>
      <c r="N12" s="71"/>
      <c r="O12" s="66" t="s">
        <v>58</v>
      </c>
      <c r="P12" s="66" t="s">
        <v>69</v>
      </c>
      <c r="Q12" s="66">
        <v>140</v>
      </c>
      <c r="R12" s="72">
        <v>46059</v>
      </c>
      <c r="S12" s="66">
        <v>200</v>
      </c>
      <c r="T12" s="72" t="s">
        <v>46</v>
      </c>
      <c r="U12" s="71" t="s">
        <v>46</v>
      </c>
      <c r="V12" s="73" t="str">
        <f t="shared" si="0"/>
        <v/>
      </c>
      <c r="W12" s="84"/>
      <c r="X12" s="74"/>
      <c r="Y12" s="74"/>
      <c r="Z12" s="75"/>
      <c r="AA12" s="74"/>
      <c r="AB12" s="75"/>
      <c r="AC12" s="74"/>
      <c r="AD12" s="74"/>
      <c r="AE12" s="74"/>
      <c r="AF12" s="74"/>
      <c r="AG12" s="74"/>
      <c r="AH12" s="75"/>
      <c r="AI12" s="74"/>
      <c r="AJ12" s="75"/>
      <c r="AK12" s="74"/>
      <c r="AL12" s="74"/>
      <c r="AM12" s="74"/>
      <c r="AN12" s="74"/>
      <c r="AO12" s="67" t="s">
        <v>71</v>
      </c>
    </row>
    <row r="13" spans="1:41" ht="26.4" x14ac:dyDescent="0.25">
      <c r="A13" s="63">
        <v>11</v>
      </c>
      <c r="B13" s="64" t="s">
        <v>11</v>
      </c>
      <c r="C13" s="64" t="s">
        <v>11</v>
      </c>
      <c r="D13" s="76" t="s">
        <v>89</v>
      </c>
      <c r="E13" s="66" t="s">
        <v>46</v>
      </c>
      <c r="F13" s="67" t="s">
        <v>90</v>
      </c>
      <c r="G13" s="68" t="s">
        <v>4</v>
      </c>
      <c r="H13" s="69" t="s">
        <v>46</v>
      </c>
      <c r="I13" s="69" t="s">
        <v>46</v>
      </c>
      <c r="J13" s="65"/>
      <c r="K13" s="70">
        <v>9500</v>
      </c>
      <c r="L13" s="71" t="s">
        <v>46</v>
      </c>
      <c r="M13" s="71" t="s">
        <v>48</v>
      </c>
      <c r="N13" s="71"/>
      <c r="O13" s="66" t="s">
        <v>58</v>
      </c>
      <c r="P13" s="66" t="s">
        <v>69</v>
      </c>
      <c r="Q13" s="66" t="s">
        <v>91</v>
      </c>
      <c r="R13" s="72">
        <v>46087</v>
      </c>
      <c r="S13" s="66">
        <v>300</v>
      </c>
      <c r="T13" s="72">
        <v>46086</v>
      </c>
      <c r="U13" s="71" t="s">
        <v>92</v>
      </c>
      <c r="V13" s="73" t="str">
        <f t="shared" si="0"/>
        <v>提前1天交付</v>
      </c>
      <c r="W13" s="84"/>
      <c r="X13" s="74"/>
      <c r="Y13" s="74"/>
      <c r="Z13" s="75"/>
      <c r="AA13" s="74"/>
      <c r="AB13" s="75"/>
      <c r="AC13" s="74"/>
      <c r="AD13" s="74"/>
      <c r="AE13" s="74"/>
      <c r="AF13" s="74"/>
      <c r="AG13" s="74"/>
      <c r="AH13" s="75"/>
      <c r="AI13" s="74"/>
      <c r="AJ13" s="75"/>
      <c r="AK13" s="74"/>
      <c r="AL13" s="74"/>
      <c r="AM13" s="74"/>
      <c r="AN13" s="74"/>
      <c r="AO13" s="67" t="s">
        <v>71</v>
      </c>
    </row>
    <row r="14" spans="1:41" x14ac:dyDescent="0.25">
      <c r="A14" s="63">
        <v>12</v>
      </c>
      <c r="B14" s="64" t="s">
        <v>9</v>
      </c>
      <c r="C14" s="71" t="s">
        <v>66</v>
      </c>
      <c r="D14" s="76" t="s">
        <v>93</v>
      </c>
      <c r="E14" s="66" t="s">
        <v>46</v>
      </c>
      <c r="F14" s="67" t="s">
        <v>94</v>
      </c>
      <c r="G14" s="78" t="s">
        <v>6</v>
      </c>
      <c r="H14" s="69" t="s">
        <v>46</v>
      </c>
      <c r="I14" s="69" t="s">
        <v>46</v>
      </c>
      <c r="J14" s="65"/>
      <c r="K14" s="70" t="s">
        <v>46</v>
      </c>
      <c r="L14" s="71" t="s">
        <v>46</v>
      </c>
      <c r="M14" s="71" t="s">
        <v>46</v>
      </c>
      <c r="N14" s="71"/>
      <c r="O14" s="66" t="s">
        <v>58</v>
      </c>
      <c r="P14" s="66" t="s">
        <v>46</v>
      </c>
      <c r="Q14" s="66">
        <v>520</v>
      </c>
      <c r="R14" s="72">
        <v>46063</v>
      </c>
      <c r="S14" s="66">
        <v>590</v>
      </c>
      <c r="T14" s="72"/>
      <c r="U14" s="71" t="s">
        <v>46</v>
      </c>
      <c r="V14" s="73" t="str">
        <f t="shared" si="0"/>
        <v/>
      </c>
      <c r="W14" s="84"/>
      <c r="X14" s="74"/>
      <c r="Y14" s="74"/>
      <c r="Z14" s="75"/>
      <c r="AA14" s="74"/>
      <c r="AB14" s="75"/>
      <c r="AC14" s="74"/>
      <c r="AD14" s="74"/>
      <c r="AE14" s="74"/>
      <c r="AF14" s="74"/>
      <c r="AG14" s="74"/>
      <c r="AH14" s="75"/>
      <c r="AI14" s="74"/>
      <c r="AJ14" s="75"/>
      <c r="AK14" s="74"/>
      <c r="AL14" s="74"/>
      <c r="AM14" s="74"/>
      <c r="AN14" s="74"/>
      <c r="AO14" s="67" t="s">
        <v>46</v>
      </c>
    </row>
    <row r="15" spans="1:41" ht="34.200000000000003" x14ac:dyDescent="0.25">
      <c r="A15" s="63">
        <v>13</v>
      </c>
      <c r="B15" s="71" t="s">
        <v>14</v>
      </c>
      <c r="C15" s="71" t="s">
        <v>9</v>
      </c>
      <c r="D15" s="76" t="s">
        <v>95</v>
      </c>
      <c r="E15" s="66" t="s">
        <v>76</v>
      </c>
      <c r="F15" s="67" t="s">
        <v>96</v>
      </c>
      <c r="G15" s="68" t="s">
        <v>4</v>
      </c>
      <c r="H15" s="69" t="s">
        <v>46</v>
      </c>
      <c r="I15" s="69" t="s">
        <v>46</v>
      </c>
      <c r="J15" s="65"/>
      <c r="K15" s="87">
        <v>1500000</v>
      </c>
      <c r="L15" s="71" t="s">
        <v>46</v>
      </c>
      <c r="M15" s="71">
        <v>2026.7</v>
      </c>
      <c r="N15" s="71"/>
      <c r="O15" s="66" t="s">
        <v>58</v>
      </c>
      <c r="P15" s="66" t="s">
        <v>69</v>
      </c>
      <c r="Q15" s="66">
        <v>1000</v>
      </c>
      <c r="R15" s="72">
        <v>46087</v>
      </c>
      <c r="S15" s="66">
        <v>1000</v>
      </c>
      <c r="T15" s="72">
        <v>46094</v>
      </c>
      <c r="U15" s="88">
        <v>1000</v>
      </c>
      <c r="V15" s="89" t="s">
        <v>97</v>
      </c>
      <c r="W15" s="84"/>
      <c r="X15" s="74"/>
      <c r="Y15" s="74"/>
      <c r="Z15" s="75"/>
      <c r="AA15" s="74"/>
      <c r="AB15" s="75"/>
      <c r="AC15" s="74"/>
      <c r="AD15" s="74"/>
      <c r="AE15" s="74"/>
      <c r="AF15" s="74"/>
      <c r="AG15" s="74"/>
      <c r="AH15" s="75"/>
      <c r="AI15" s="74"/>
      <c r="AJ15" s="75"/>
      <c r="AK15" s="74"/>
      <c r="AL15" s="74"/>
      <c r="AM15" s="74"/>
      <c r="AN15" s="74"/>
      <c r="AO15" s="67" t="s">
        <v>98</v>
      </c>
    </row>
    <row r="16" spans="1:41" x14ac:dyDescent="0.25">
      <c r="A16" s="63">
        <v>14</v>
      </c>
      <c r="B16" s="71" t="s">
        <v>9</v>
      </c>
      <c r="C16" s="71" t="s">
        <v>66</v>
      </c>
      <c r="D16" s="76" t="s">
        <v>99</v>
      </c>
      <c r="E16" s="66" t="s">
        <v>82</v>
      </c>
      <c r="F16" s="90" t="s">
        <v>96</v>
      </c>
      <c r="G16" s="68" t="s">
        <v>4</v>
      </c>
      <c r="H16" s="69" t="s">
        <v>46</v>
      </c>
      <c r="I16" s="69" t="s">
        <v>46</v>
      </c>
      <c r="J16" s="65"/>
      <c r="K16" s="70" t="s">
        <v>48</v>
      </c>
      <c r="L16" s="71" t="s">
        <v>46</v>
      </c>
      <c r="M16" s="71" t="s">
        <v>48</v>
      </c>
      <c r="N16" s="71"/>
      <c r="O16" s="66" t="s">
        <v>58</v>
      </c>
      <c r="P16" s="66" t="s">
        <v>69</v>
      </c>
      <c r="Q16" s="66">
        <v>10</v>
      </c>
      <c r="R16" s="72">
        <v>46091</v>
      </c>
      <c r="S16" s="66">
        <v>10</v>
      </c>
      <c r="T16" s="72">
        <v>46091</v>
      </c>
      <c r="U16" s="91">
        <v>10</v>
      </c>
      <c r="V16" s="73" t="str">
        <f t="shared" ref="V16:V18" si="1">IFERROR(IF(T16="","",IF(R16&gt;T16,"提前"&amp;R16-T16&amp;"天交付",IF(R16&lt;T16,"延误"&amp;T16-R16&amp;"天交付","准时交付"))),"")</f>
        <v>准时交付</v>
      </c>
      <c r="W16" s="84"/>
      <c r="X16" s="92"/>
      <c r="Y16" s="74"/>
      <c r="Z16" s="75"/>
      <c r="AA16" s="74"/>
      <c r="AB16" s="75"/>
      <c r="AC16" s="74"/>
      <c r="AD16" s="74"/>
      <c r="AE16" s="74"/>
      <c r="AF16" s="74"/>
      <c r="AG16" s="74"/>
      <c r="AH16" s="75"/>
      <c r="AI16" s="74"/>
      <c r="AJ16" s="75"/>
      <c r="AK16" s="74"/>
      <c r="AL16" s="74"/>
      <c r="AM16" s="74"/>
      <c r="AN16" s="74"/>
      <c r="AO16" s="67" t="s">
        <v>71</v>
      </c>
    </row>
    <row r="17" spans="1:41" x14ac:dyDescent="0.25">
      <c r="A17" s="63">
        <v>15</v>
      </c>
      <c r="B17" s="71" t="s">
        <v>10</v>
      </c>
      <c r="C17" s="71" t="s">
        <v>10</v>
      </c>
      <c r="D17" s="76">
        <v>2440138</v>
      </c>
      <c r="E17" s="108" t="s">
        <v>100</v>
      </c>
      <c r="F17" s="90" t="s">
        <v>101</v>
      </c>
      <c r="G17" s="68" t="s">
        <v>4</v>
      </c>
      <c r="H17" s="69" t="s">
        <v>46</v>
      </c>
      <c r="I17" s="69" t="s">
        <v>46</v>
      </c>
      <c r="J17" s="65"/>
      <c r="K17" s="87">
        <v>40000</v>
      </c>
      <c r="L17" s="71" t="s">
        <v>46</v>
      </c>
      <c r="M17" s="71" t="s">
        <v>48</v>
      </c>
      <c r="N17" s="71"/>
      <c r="O17" s="66" t="s">
        <v>58</v>
      </c>
      <c r="P17" s="66" t="s">
        <v>69</v>
      </c>
      <c r="Q17" s="66">
        <v>100</v>
      </c>
      <c r="R17" s="72">
        <v>46093</v>
      </c>
      <c r="S17" s="66">
        <v>160</v>
      </c>
      <c r="T17" s="72">
        <v>46092</v>
      </c>
      <c r="U17" s="88">
        <v>100</v>
      </c>
      <c r="V17" s="73" t="str">
        <f t="shared" si="1"/>
        <v>提前1天交付</v>
      </c>
      <c r="W17" s="84"/>
      <c r="X17" s="92"/>
      <c r="Y17" s="74"/>
      <c r="Z17" s="75"/>
      <c r="AA17" s="74"/>
      <c r="AB17" s="75"/>
      <c r="AC17" s="74"/>
      <c r="AD17" s="74"/>
      <c r="AE17" s="74"/>
      <c r="AF17" s="74"/>
      <c r="AG17" s="74"/>
      <c r="AH17" s="75"/>
      <c r="AI17" s="74"/>
      <c r="AJ17" s="75"/>
      <c r="AK17" s="74"/>
      <c r="AL17" s="74"/>
      <c r="AM17" s="74"/>
      <c r="AN17" s="74"/>
      <c r="AO17" s="67" t="s">
        <v>71</v>
      </c>
    </row>
    <row r="18" spans="1:41" x14ac:dyDescent="0.25">
      <c r="A18" s="63">
        <v>16</v>
      </c>
      <c r="B18" s="71" t="s">
        <v>9</v>
      </c>
      <c r="C18" s="71" t="s">
        <v>66</v>
      </c>
      <c r="D18" s="76" t="s">
        <v>102</v>
      </c>
      <c r="E18" s="66" t="s">
        <v>76</v>
      </c>
      <c r="F18" s="90" t="s">
        <v>77</v>
      </c>
      <c r="G18" s="68" t="s">
        <v>4</v>
      </c>
      <c r="H18" s="69" t="s">
        <v>46</v>
      </c>
      <c r="I18" s="69" t="s">
        <v>46</v>
      </c>
      <c r="J18" s="65"/>
      <c r="K18" s="70">
        <v>20000</v>
      </c>
      <c r="L18" s="71" t="s">
        <v>46</v>
      </c>
      <c r="M18" s="71" t="s">
        <v>48</v>
      </c>
      <c r="N18" s="71"/>
      <c r="O18" s="66" t="s">
        <v>58</v>
      </c>
      <c r="P18" s="66" t="s">
        <v>69</v>
      </c>
      <c r="Q18" s="66">
        <v>100</v>
      </c>
      <c r="R18" s="72">
        <v>46112</v>
      </c>
      <c r="S18" s="66">
        <v>160</v>
      </c>
      <c r="T18" s="72">
        <v>46112</v>
      </c>
      <c r="U18" s="71">
        <v>100</v>
      </c>
      <c r="V18" s="73" t="str">
        <f t="shared" si="1"/>
        <v>准时交付</v>
      </c>
      <c r="W18" s="84"/>
      <c r="X18" s="92"/>
      <c r="Y18" s="92"/>
      <c r="Z18" s="93"/>
      <c r="AA18" s="92"/>
      <c r="AB18" s="93"/>
      <c r="AC18" s="92"/>
      <c r="AD18" s="92"/>
      <c r="AE18" s="92"/>
      <c r="AF18" s="92"/>
      <c r="AG18" s="92"/>
      <c r="AH18" s="93"/>
      <c r="AI18" s="92"/>
      <c r="AJ18" s="93"/>
      <c r="AK18" s="92"/>
      <c r="AL18" s="92"/>
      <c r="AM18" s="92"/>
      <c r="AN18" s="92"/>
      <c r="AO18" s="90" t="s">
        <v>103</v>
      </c>
    </row>
    <row r="19" spans="1:41" ht="26.4" x14ac:dyDescent="0.25">
      <c r="A19" s="63">
        <v>17</v>
      </c>
      <c r="B19" s="64" t="s">
        <v>11</v>
      </c>
      <c r="C19" s="64" t="s">
        <v>11</v>
      </c>
      <c r="D19" s="76" t="s">
        <v>104</v>
      </c>
      <c r="E19" s="66" t="s">
        <v>46</v>
      </c>
      <c r="F19" s="90" t="s">
        <v>105</v>
      </c>
      <c r="G19" s="68" t="s">
        <v>4</v>
      </c>
      <c r="H19" s="69" t="s">
        <v>46</v>
      </c>
      <c r="I19" s="69" t="s">
        <v>46</v>
      </c>
      <c r="J19" s="65"/>
      <c r="K19" s="70">
        <v>7585</v>
      </c>
      <c r="L19" s="71" t="s">
        <v>46</v>
      </c>
      <c r="M19" s="71" t="s">
        <v>48</v>
      </c>
      <c r="N19" s="71"/>
      <c r="O19" s="66" t="s">
        <v>58</v>
      </c>
      <c r="P19" s="66" t="s">
        <v>106</v>
      </c>
      <c r="Q19" s="66" t="s">
        <v>107</v>
      </c>
      <c r="R19" s="72">
        <v>46112</v>
      </c>
      <c r="S19" s="66">
        <v>100</v>
      </c>
      <c r="T19" s="72">
        <v>46113</v>
      </c>
      <c r="U19" s="66" t="s">
        <v>108</v>
      </c>
      <c r="V19" s="94" t="s">
        <v>109</v>
      </c>
      <c r="W19" s="71"/>
      <c r="X19" s="92"/>
      <c r="Y19" s="92"/>
      <c r="Z19" s="93"/>
      <c r="AA19" s="92"/>
      <c r="AB19" s="93"/>
      <c r="AC19" s="92"/>
      <c r="AD19" s="92"/>
      <c r="AE19" s="92"/>
      <c r="AF19" s="92"/>
      <c r="AG19" s="92"/>
      <c r="AH19" s="93"/>
      <c r="AI19" s="92"/>
      <c r="AJ19" s="93"/>
      <c r="AK19" s="92"/>
      <c r="AL19" s="92"/>
      <c r="AM19" s="92"/>
      <c r="AN19" s="92"/>
      <c r="AO19" s="90" t="s">
        <v>110</v>
      </c>
    </row>
    <row r="20" spans="1:41" x14ac:dyDescent="0.25">
      <c r="A20" s="63">
        <v>18</v>
      </c>
      <c r="B20" s="71" t="s">
        <v>16</v>
      </c>
      <c r="C20" s="71" t="s">
        <v>66</v>
      </c>
      <c r="D20" s="76" t="s">
        <v>111</v>
      </c>
      <c r="E20" s="66" t="s">
        <v>82</v>
      </c>
      <c r="F20" s="90" t="s">
        <v>112</v>
      </c>
      <c r="G20" s="68" t="s">
        <v>4</v>
      </c>
      <c r="H20" s="69" t="s">
        <v>46</v>
      </c>
      <c r="I20" s="69" t="s">
        <v>46</v>
      </c>
      <c r="J20" s="65"/>
      <c r="K20" s="70">
        <v>35000</v>
      </c>
      <c r="L20" s="71" t="s">
        <v>46</v>
      </c>
      <c r="M20" s="71">
        <v>2026.5</v>
      </c>
      <c r="N20" s="71"/>
      <c r="O20" s="95" t="s">
        <v>58</v>
      </c>
      <c r="P20" s="66" t="s">
        <v>69</v>
      </c>
      <c r="Q20" s="66">
        <v>200</v>
      </c>
      <c r="R20" s="72">
        <v>46091</v>
      </c>
      <c r="S20" s="66">
        <v>300</v>
      </c>
      <c r="T20" s="72">
        <v>46093</v>
      </c>
      <c r="U20" s="88">
        <v>200</v>
      </c>
      <c r="V20" s="94" t="str">
        <f t="shared" ref="V20:V22" si="2">IFERROR(IF(T20="","",IF(R20&gt;T20,"提前"&amp;R20-T20&amp;"天交付",IF(R20&lt;T20,"延误"&amp;T20-R20&amp;"天交付","准时交付"))),"")</f>
        <v>延误2天交付</v>
      </c>
      <c r="W20" s="92"/>
      <c r="X20" s="92"/>
      <c r="Y20" s="74"/>
      <c r="Z20" s="75"/>
      <c r="AA20" s="74"/>
      <c r="AB20" s="75"/>
      <c r="AC20" s="74"/>
      <c r="AD20" s="74"/>
      <c r="AE20" s="74"/>
      <c r="AF20" s="74"/>
      <c r="AG20" s="74"/>
      <c r="AH20" s="75"/>
      <c r="AI20" s="74"/>
      <c r="AJ20" s="75"/>
      <c r="AK20" s="74"/>
      <c r="AL20" s="74"/>
      <c r="AM20" s="74"/>
      <c r="AN20" s="74"/>
      <c r="AO20" s="67" t="s">
        <v>71</v>
      </c>
    </row>
    <row r="21" spans="1:41" x14ac:dyDescent="0.25">
      <c r="A21" s="63">
        <v>19</v>
      </c>
      <c r="B21" s="71" t="s">
        <v>16</v>
      </c>
      <c r="C21" s="71" t="s">
        <v>66</v>
      </c>
      <c r="D21" s="76" t="s">
        <v>113</v>
      </c>
      <c r="E21" s="66" t="s">
        <v>76</v>
      </c>
      <c r="F21" s="90" t="s">
        <v>112</v>
      </c>
      <c r="G21" s="68" t="s">
        <v>4</v>
      </c>
      <c r="H21" s="69" t="s">
        <v>46</v>
      </c>
      <c r="I21" s="69" t="s">
        <v>46</v>
      </c>
      <c r="J21" s="65"/>
      <c r="K21" s="70">
        <v>100000</v>
      </c>
      <c r="L21" s="71" t="s">
        <v>46</v>
      </c>
      <c r="M21" s="71">
        <v>2026.5</v>
      </c>
      <c r="N21" s="71"/>
      <c r="O21" s="95" t="s">
        <v>58</v>
      </c>
      <c r="P21" s="66" t="s">
        <v>69</v>
      </c>
      <c r="Q21" s="66">
        <v>370</v>
      </c>
      <c r="R21" s="72">
        <v>46091</v>
      </c>
      <c r="S21" s="66">
        <v>450</v>
      </c>
      <c r="T21" s="72">
        <v>46093</v>
      </c>
      <c r="U21" s="88">
        <v>370</v>
      </c>
      <c r="V21" s="94" t="str">
        <f t="shared" si="2"/>
        <v>延误2天交付</v>
      </c>
      <c r="W21" s="92"/>
      <c r="X21" s="92"/>
      <c r="Y21" s="74"/>
      <c r="Z21" s="75"/>
      <c r="AA21" s="74"/>
      <c r="AB21" s="75"/>
      <c r="AC21" s="74"/>
      <c r="AD21" s="74"/>
      <c r="AE21" s="74"/>
      <c r="AF21" s="74"/>
      <c r="AG21" s="74"/>
      <c r="AH21" s="75"/>
      <c r="AI21" s="74"/>
      <c r="AJ21" s="75"/>
      <c r="AK21" s="74"/>
      <c r="AL21" s="74"/>
      <c r="AM21" s="74"/>
      <c r="AN21" s="74"/>
      <c r="AO21" s="67" t="s">
        <v>71</v>
      </c>
    </row>
    <row r="22" spans="1:41" x14ac:dyDescent="0.25">
      <c r="A22" s="63">
        <v>20</v>
      </c>
      <c r="B22" s="71" t="s">
        <v>16</v>
      </c>
      <c r="C22" s="71" t="s">
        <v>66</v>
      </c>
      <c r="D22" s="76" t="s">
        <v>114</v>
      </c>
      <c r="E22" s="66" t="s">
        <v>82</v>
      </c>
      <c r="F22" s="90" t="s">
        <v>112</v>
      </c>
      <c r="G22" s="68" t="s">
        <v>4</v>
      </c>
      <c r="H22" s="69" t="s">
        <v>46</v>
      </c>
      <c r="I22" s="69" t="s">
        <v>46</v>
      </c>
      <c r="J22" s="65"/>
      <c r="K22" s="70">
        <v>100000</v>
      </c>
      <c r="L22" s="71" t="s">
        <v>46</v>
      </c>
      <c r="M22" s="71">
        <v>2026.5</v>
      </c>
      <c r="N22" s="71"/>
      <c r="O22" s="66" t="s">
        <v>58</v>
      </c>
      <c r="P22" s="66" t="s">
        <v>69</v>
      </c>
      <c r="Q22" s="66">
        <v>170</v>
      </c>
      <c r="R22" s="72">
        <v>46091</v>
      </c>
      <c r="S22" s="66">
        <v>250</v>
      </c>
      <c r="T22" s="72">
        <v>46093</v>
      </c>
      <c r="U22" s="88">
        <v>170</v>
      </c>
      <c r="V22" s="73" t="str">
        <f t="shared" si="2"/>
        <v>延误2天交付</v>
      </c>
      <c r="W22" s="71"/>
      <c r="X22" s="92"/>
      <c r="Y22" s="74"/>
      <c r="Z22" s="75"/>
      <c r="AA22" s="74"/>
      <c r="AB22" s="75"/>
      <c r="AC22" s="74"/>
      <c r="AD22" s="74"/>
      <c r="AE22" s="74"/>
      <c r="AF22" s="74"/>
      <c r="AG22" s="74"/>
      <c r="AH22" s="75"/>
      <c r="AI22" s="74"/>
      <c r="AJ22" s="75"/>
      <c r="AK22" s="74"/>
      <c r="AL22" s="74"/>
      <c r="AM22" s="74"/>
      <c r="AN22" s="74"/>
      <c r="AO22" s="67" t="s">
        <v>71</v>
      </c>
    </row>
    <row r="23" spans="1:41" ht="26.4" x14ac:dyDescent="0.25">
      <c r="A23" s="63">
        <v>21</v>
      </c>
      <c r="B23" s="64" t="s">
        <v>10</v>
      </c>
      <c r="C23" s="64" t="s">
        <v>10</v>
      </c>
      <c r="D23" s="76">
        <v>2400171</v>
      </c>
      <c r="E23" s="108" t="s">
        <v>115</v>
      </c>
      <c r="F23" s="90" t="s">
        <v>116</v>
      </c>
      <c r="G23" s="68" t="s">
        <v>4</v>
      </c>
      <c r="H23" s="69" t="s">
        <v>46</v>
      </c>
      <c r="I23" s="69" t="s">
        <v>46</v>
      </c>
      <c r="J23" s="65"/>
      <c r="K23" s="87" t="s">
        <v>48</v>
      </c>
      <c r="L23" s="65" t="s">
        <v>46</v>
      </c>
      <c r="M23" s="65">
        <v>2026.6</v>
      </c>
      <c r="N23" s="65" t="s">
        <v>117</v>
      </c>
      <c r="O23" s="65" t="s">
        <v>58</v>
      </c>
      <c r="P23" s="66" t="s">
        <v>118</v>
      </c>
      <c r="Q23" s="66">
        <v>1500</v>
      </c>
      <c r="R23" s="72">
        <v>46111</v>
      </c>
      <c r="S23" s="66" t="s">
        <v>46</v>
      </c>
      <c r="T23" s="72">
        <v>46114</v>
      </c>
      <c r="U23" s="71">
        <v>1496</v>
      </c>
      <c r="V23" s="94" t="s">
        <v>119</v>
      </c>
      <c r="W23" s="71"/>
      <c r="X23" s="92"/>
      <c r="Y23" s="71">
        <v>2000</v>
      </c>
      <c r="Z23" s="96" t="s">
        <v>120</v>
      </c>
      <c r="AA23" s="66" t="s">
        <v>46</v>
      </c>
      <c r="AB23" s="93"/>
      <c r="AC23" s="92"/>
      <c r="AD23" s="92"/>
      <c r="AE23" s="92"/>
      <c r="AF23" s="92"/>
      <c r="AG23" s="71">
        <v>6000</v>
      </c>
      <c r="AH23" s="96">
        <v>46157</v>
      </c>
      <c r="AI23" s="66"/>
      <c r="AJ23" s="93"/>
      <c r="AK23" s="92"/>
      <c r="AL23" s="92"/>
      <c r="AM23" s="92"/>
      <c r="AN23" s="92"/>
      <c r="AO23" s="90" t="s">
        <v>121</v>
      </c>
    </row>
    <row r="24" spans="1:41" x14ac:dyDescent="0.25">
      <c r="A24" s="63">
        <v>22</v>
      </c>
      <c r="B24" s="64" t="s">
        <v>9</v>
      </c>
      <c r="C24" s="64" t="s">
        <v>80</v>
      </c>
      <c r="D24" s="76" t="s">
        <v>122</v>
      </c>
      <c r="E24" s="66" t="s">
        <v>82</v>
      </c>
      <c r="F24" s="90" t="s">
        <v>123</v>
      </c>
      <c r="G24" s="68" t="s">
        <v>4</v>
      </c>
      <c r="H24" s="69" t="s">
        <v>46</v>
      </c>
      <c r="I24" s="69" t="s">
        <v>46</v>
      </c>
      <c r="J24" s="65"/>
      <c r="K24" s="70">
        <v>55000</v>
      </c>
      <c r="L24" s="71" t="s">
        <v>46</v>
      </c>
      <c r="M24" s="71" t="s">
        <v>48</v>
      </c>
      <c r="N24" s="71"/>
      <c r="O24" s="66" t="s">
        <v>58</v>
      </c>
      <c r="P24" s="66" t="s">
        <v>69</v>
      </c>
      <c r="Q24" s="66">
        <v>100</v>
      </c>
      <c r="R24" s="72">
        <v>46096</v>
      </c>
      <c r="S24" s="66" t="s">
        <v>46</v>
      </c>
      <c r="T24" s="72">
        <v>46092</v>
      </c>
      <c r="U24" s="71">
        <v>100</v>
      </c>
      <c r="V24" s="73" t="str">
        <f t="shared" ref="V24:V27" si="3">IFERROR(IF(T24="","",IF(R24&gt;T24,"提前"&amp;R24-T24&amp;"天交付",IF(R24&lt;T24,"延误"&amp;T24-R24&amp;"天交付","准时交付"))),"")</f>
        <v>提前4天交付</v>
      </c>
      <c r="W24" s="71"/>
      <c r="X24" s="92"/>
      <c r="Y24" s="74"/>
      <c r="Z24" s="75"/>
      <c r="AA24" s="74"/>
      <c r="AB24" s="75"/>
      <c r="AC24" s="74"/>
      <c r="AD24" s="74"/>
      <c r="AE24" s="74"/>
      <c r="AF24" s="74"/>
      <c r="AG24" s="74"/>
      <c r="AH24" s="75"/>
      <c r="AI24" s="74"/>
      <c r="AJ24" s="75"/>
      <c r="AK24" s="74"/>
      <c r="AL24" s="74"/>
      <c r="AM24" s="74"/>
      <c r="AN24" s="74"/>
      <c r="AO24" s="67" t="s">
        <v>71</v>
      </c>
    </row>
    <row r="25" spans="1:41" ht="26.4" x14ac:dyDescent="0.25">
      <c r="A25" s="63">
        <v>23</v>
      </c>
      <c r="B25" s="64" t="s">
        <v>11</v>
      </c>
      <c r="C25" s="64" t="s">
        <v>11</v>
      </c>
      <c r="D25" s="76" t="s">
        <v>124</v>
      </c>
      <c r="E25" s="66"/>
      <c r="F25" s="90" t="s">
        <v>125</v>
      </c>
      <c r="G25" s="68" t="s">
        <v>4</v>
      </c>
      <c r="H25" s="97" t="s">
        <v>46</v>
      </c>
      <c r="I25" s="97" t="s">
        <v>46</v>
      </c>
      <c r="J25" s="63"/>
      <c r="K25" s="98">
        <v>1999000</v>
      </c>
      <c r="L25" s="63" t="s">
        <v>46</v>
      </c>
      <c r="M25" s="63" t="s">
        <v>48</v>
      </c>
      <c r="N25" s="63"/>
      <c r="O25" s="66" t="s">
        <v>58</v>
      </c>
      <c r="P25" s="66" t="s">
        <v>69</v>
      </c>
      <c r="Q25" s="66" t="s">
        <v>107</v>
      </c>
      <c r="R25" s="72">
        <v>46101</v>
      </c>
      <c r="S25" s="66">
        <v>120</v>
      </c>
      <c r="T25" s="72">
        <v>46100</v>
      </c>
      <c r="U25" s="71" t="s">
        <v>126</v>
      </c>
      <c r="V25" s="73" t="str">
        <f t="shared" si="3"/>
        <v>提前1天交付</v>
      </c>
      <c r="W25" s="71"/>
      <c r="X25" s="92"/>
      <c r="Y25" s="71">
        <v>300</v>
      </c>
      <c r="Z25" s="72"/>
      <c r="AA25" s="66">
        <v>350</v>
      </c>
      <c r="AB25" s="72"/>
      <c r="AC25" s="71">
        <v>300</v>
      </c>
      <c r="AD25" s="92"/>
      <c r="AE25" s="92"/>
      <c r="AF25" s="92" t="s">
        <v>127</v>
      </c>
      <c r="AG25" s="71"/>
      <c r="AH25" s="72"/>
      <c r="AI25" s="66"/>
      <c r="AJ25" s="72"/>
      <c r="AK25" s="71"/>
      <c r="AL25" s="92"/>
      <c r="AM25" s="92"/>
      <c r="AN25" s="92"/>
      <c r="AO25" s="67" t="s">
        <v>71</v>
      </c>
    </row>
    <row r="26" spans="1:41" ht="26.4" x14ac:dyDescent="0.25">
      <c r="A26" s="63">
        <v>24</v>
      </c>
      <c r="B26" s="64" t="s">
        <v>11</v>
      </c>
      <c r="C26" s="64" t="s">
        <v>11</v>
      </c>
      <c r="D26" s="76" t="s">
        <v>128</v>
      </c>
      <c r="E26" s="66"/>
      <c r="F26" s="90" t="s">
        <v>129</v>
      </c>
      <c r="G26" s="99" t="s">
        <v>5</v>
      </c>
      <c r="H26" s="69" t="s">
        <v>46</v>
      </c>
      <c r="I26" s="69" t="s">
        <v>46</v>
      </c>
      <c r="J26" s="65"/>
      <c r="K26" s="70">
        <v>7708</v>
      </c>
      <c r="L26" s="71" t="s">
        <v>46</v>
      </c>
      <c r="M26" s="71" t="s">
        <v>48</v>
      </c>
      <c r="N26" s="71"/>
      <c r="O26" s="66" t="s">
        <v>58</v>
      </c>
      <c r="P26" s="66" t="s">
        <v>130</v>
      </c>
      <c r="Q26" s="66" t="s">
        <v>131</v>
      </c>
      <c r="R26" s="72">
        <v>46101</v>
      </c>
      <c r="S26" s="66">
        <v>150</v>
      </c>
      <c r="T26" s="72"/>
      <c r="U26" s="71"/>
      <c r="V26" s="73" t="str">
        <f t="shared" si="3"/>
        <v/>
      </c>
      <c r="W26" s="71"/>
      <c r="X26" s="92" t="s">
        <v>132</v>
      </c>
      <c r="Y26" s="92"/>
      <c r="Z26" s="93"/>
      <c r="AA26" s="92"/>
      <c r="AB26" s="93"/>
      <c r="AC26" s="92"/>
      <c r="AD26" s="92"/>
      <c r="AE26" s="92"/>
      <c r="AF26" s="92"/>
      <c r="AG26" s="92"/>
      <c r="AH26" s="93"/>
      <c r="AI26" s="92"/>
      <c r="AJ26" s="93"/>
      <c r="AK26" s="92"/>
      <c r="AL26" s="92"/>
      <c r="AM26" s="92"/>
      <c r="AN26" s="92"/>
      <c r="AO26" s="90" t="s">
        <v>133</v>
      </c>
    </row>
    <row r="27" spans="1:41" x14ac:dyDescent="0.25">
      <c r="A27" s="63">
        <v>25</v>
      </c>
      <c r="B27" s="64" t="s">
        <v>9</v>
      </c>
      <c r="C27" s="64" t="s">
        <v>80</v>
      </c>
      <c r="D27" s="76" t="s">
        <v>134</v>
      </c>
      <c r="E27" s="66" t="s">
        <v>76</v>
      </c>
      <c r="F27" s="90" t="s">
        <v>135</v>
      </c>
      <c r="G27" s="99" t="s">
        <v>5</v>
      </c>
      <c r="H27" s="69" t="s">
        <v>46</v>
      </c>
      <c r="I27" s="69" t="s">
        <v>46</v>
      </c>
      <c r="J27" s="65"/>
      <c r="K27" s="70" t="s">
        <v>48</v>
      </c>
      <c r="L27" s="96">
        <v>46086</v>
      </c>
      <c r="M27" s="71" t="s">
        <v>48</v>
      </c>
      <c r="N27" s="71"/>
      <c r="O27" s="66" t="s">
        <v>58</v>
      </c>
      <c r="P27" s="66" t="s">
        <v>136</v>
      </c>
      <c r="Q27" s="66">
        <v>50</v>
      </c>
      <c r="R27" s="72" t="s">
        <v>137</v>
      </c>
      <c r="S27" s="66">
        <v>152</v>
      </c>
      <c r="T27" s="72"/>
      <c r="U27" s="71"/>
      <c r="V27" s="73" t="str">
        <f t="shared" si="3"/>
        <v/>
      </c>
      <c r="W27" s="71"/>
      <c r="X27" s="92"/>
      <c r="Y27" s="92"/>
      <c r="Z27" s="93"/>
      <c r="AA27" s="92"/>
      <c r="AB27" s="93"/>
      <c r="AC27" s="92"/>
      <c r="AD27" s="92"/>
      <c r="AE27" s="92"/>
      <c r="AF27" s="92"/>
      <c r="AG27" s="92"/>
      <c r="AH27" s="93"/>
      <c r="AI27" s="92"/>
      <c r="AJ27" s="93"/>
      <c r="AK27" s="92"/>
      <c r="AL27" s="92"/>
      <c r="AM27" s="92"/>
      <c r="AN27" s="92"/>
      <c r="AO27" s="90" t="s">
        <v>138</v>
      </c>
    </row>
    <row r="28" spans="1:41" ht="22.8" x14ac:dyDescent="0.25">
      <c r="A28" s="63">
        <v>26</v>
      </c>
      <c r="B28" s="64" t="s">
        <v>9</v>
      </c>
      <c r="C28" s="64" t="s">
        <v>80</v>
      </c>
      <c r="D28" s="76" t="s">
        <v>139</v>
      </c>
      <c r="E28" s="66" t="s">
        <v>76</v>
      </c>
      <c r="F28" s="90" t="s">
        <v>140</v>
      </c>
      <c r="G28" s="68" t="s">
        <v>4</v>
      </c>
      <c r="H28" s="69" t="s">
        <v>46</v>
      </c>
      <c r="I28" s="69" t="s">
        <v>46</v>
      </c>
      <c r="J28" s="65"/>
      <c r="K28" s="70" t="s">
        <v>48</v>
      </c>
      <c r="L28" s="96">
        <v>46086</v>
      </c>
      <c r="M28" s="71" t="s">
        <v>48</v>
      </c>
      <c r="N28" s="71"/>
      <c r="O28" s="66" t="s">
        <v>58</v>
      </c>
      <c r="P28" s="66" t="s">
        <v>69</v>
      </c>
      <c r="Q28" s="66">
        <v>50</v>
      </c>
      <c r="R28" s="72" t="s">
        <v>141</v>
      </c>
      <c r="S28" s="66">
        <v>100</v>
      </c>
      <c r="T28" s="72">
        <v>46119</v>
      </c>
      <c r="U28" s="71">
        <v>50</v>
      </c>
      <c r="V28" s="100" t="s">
        <v>53</v>
      </c>
      <c r="W28" s="71"/>
      <c r="X28" s="92"/>
      <c r="Y28" s="92"/>
      <c r="Z28" s="93"/>
      <c r="AA28" s="92"/>
      <c r="AB28" s="93"/>
      <c r="AC28" s="92"/>
      <c r="AD28" s="92"/>
      <c r="AE28" s="92"/>
      <c r="AF28" s="92"/>
      <c r="AG28" s="92"/>
      <c r="AH28" s="93"/>
      <c r="AI28" s="92"/>
      <c r="AJ28" s="93"/>
      <c r="AK28" s="92"/>
      <c r="AL28" s="92"/>
      <c r="AM28" s="92"/>
      <c r="AN28" s="92"/>
      <c r="AO28" s="90" t="s">
        <v>142</v>
      </c>
    </row>
    <row r="29" spans="1:41" x14ac:dyDescent="0.25">
      <c r="A29" s="63">
        <v>27</v>
      </c>
      <c r="B29" s="64" t="s">
        <v>10</v>
      </c>
      <c r="C29" s="64" t="s">
        <v>10</v>
      </c>
      <c r="D29" s="76">
        <v>2443402</v>
      </c>
      <c r="E29" s="108" t="s">
        <v>143</v>
      </c>
      <c r="F29" s="101" t="s">
        <v>144</v>
      </c>
      <c r="G29" s="99" t="s">
        <v>5</v>
      </c>
      <c r="H29" s="69" t="s">
        <v>46</v>
      </c>
      <c r="I29" s="69" t="s">
        <v>46</v>
      </c>
      <c r="J29" s="65"/>
      <c r="K29" s="79">
        <v>120000</v>
      </c>
      <c r="L29" s="64" t="s">
        <v>46</v>
      </c>
      <c r="M29" s="71">
        <v>2026.7</v>
      </c>
      <c r="N29" s="71"/>
      <c r="O29" s="66" t="s">
        <v>58</v>
      </c>
      <c r="P29" s="66" t="s">
        <v>145</v>
      </c>
      <c r="Q29" s="66"/>
      <c r="R29" s="72"/>
      <c r="S29" s="66"/>
      <c r="T29" s="72"/>
      <c r="U29" s="64"/>
      <c r="V29" s="73"/>
      <c r="W29" s="64"/>
      <c r="X29" s="86"/>
      <c r="Y29" s="66">
        <v>2000</v>
      </c>
      <c r="Z29" s="72">
        <v>46132</v>
      </c>
      <c r="AA29" s="66">
        <v>2900</v>
      </c>
      <c r="AB29" s="72"/>
      <c r="AC29" s="64"/>
      <c r="AD29" s="73" t="str">
        <f>IFERROR(IF(AB29="","",IF(Z29&gt;AB29,"提前"&amp;Z29-AB29&amp;"天交付",IF(Z29&lt;AB29,"延误"&amp;AB29-Z29&amp;"天交付","准时交付"))),"")</f>
        <v/>
      </c>
      <c r="AE29" s="64"/>
      <c r="AF29" s="86" t="s">
        <v>146</v>
      </c>
      <c r="AG29" s="66"/>
      <c r="AH29" s="72"/>
      <c r="AI29" s="66"/>
      <c r="AJ29" s="72"/>
      <c r="AK29" s="64"/>
      <c r="AL29" s="73"/>
      <c r="AM29" s="64"/>
      <c r="AN29" s="86"/>
      <c r="AO29" s="101" t="s">
        <v>147</v>
      </c>
    </row>
    <row r="30" spans="1:41" x14ac:dyDescent="0.25">
      <c r="A30" s="63">
        <v>28</v>
      </c>
      <c r="B30" s="63" t="s">
        <v>15</v>
      </c>
      <c r="C30" s="64" t="s">
        <v>10</v>
      </c>
      <c r="D30" s="76">
        <v>2123158</v>
      </c>
      <c r="E30" s="108" t="s">
        <v>100</v>
      </c>
      <c r="F30" s="101" t="s">
        <v>148</v>
      </c>
      <c r="G30" s="99" t="s">
        <v>5</v>
      </c>
      <c r="H30" s="69" t="s">
        <v>46</v>
      </c>
      <c r="I30" s="69" t="s">
        <v>46</v>
      </c>
      <c r="J30" s="65"/>
      <c r="K30" s="98" t="s">
        <v>46</v>
      </c>
      <c r="L30" s="63" t="s">
        <v>46</v>
      </c>
      <c r="M30" s="63" t="s">
        <v>46</v>
      </c>
      <c r="N30" s="63"/>
      <c r="O30" s="66" t="s">
        <v>149</v>
      </c>
      <c r="P30" s="66" t="s">
        <v>150</v>
      </c>
      <c r="Q30" s="66">
        <v>500</v>
      </c>
      <c r="R30" s="72" t="s">
        <v>120</v>
      </c>
      <c r="S30" s="66"/>
      <c r="T30" s="72"/>
      <c r="U30" s="84"/>
      <c r="V30" s="73" t="str">
        <f t="shared" ref="V30:V93" si="4">IFERROR(IF(T30="","",IF(R30&gt;T30,"提前"&amp;R30-T30&amp;"天交付",IF(R30&lt;T30,"延误"&amp;T30-R30&amp;"天交付","准时交付"))),"")</f>
        <v/>
      </c>
      <c r="W30" s="84"/>
      <c r="X30" s="86"/>
      <c r="Y30" s="86"/>
      <c r="Z30" s="102"/>
      <c r="AA30" s="86"/>
      <c r="AB30" s="102"/>
      <c r="AC30" s="86"/>
      <c r="AD30" s="86"/>
      <c r="AE30" s="86"/>
      <c r="AF30" s="86"/>
      <c r="AG30" s="86"/>
      <c r="AH30" s="102"/>
      <c r="AI30" s="86"/>
      <c r="AJ30" s="102"/>
      <c r="AK30" s="86"/>
      <c r="AL30" s="86"/>
      <c r="AM30" s="86"/>
      <c r="AN30" s="86"/>
      <c r="AO30" s="101" t="s">
        <v>151</v>
      </c>
    </row>
    <row r="31" spans="1:41" x14ac:dyDescent="0.25">
      <c r="A31" s="63">
        <v>29</v>
      </c>
      <c r="B31" s="63" t="s">
        <v>15</v>
      </c>
      <c r="C31" s="64" t="s">
        <v>10</v>
      </c>
      <c r="D31" s="76">
        <v>2123590</v>
      </c>
      <c r="E31" s="108" t="s">
        <v>100</v>
      </c>
      <c r="F31" s="101" t="s">
        <v>148</v>
      </c>
      <c r="G31" s="99" t="s">
        <v>5</v>
      </c>
      <c r="H31" s="69" t="s">
        <v>46</v>
      </c>
      <c r="I31" s="69" t="s">
        <v>46</v>
      </c>
      <c r="J31" s="65"/>
      <c r="K31" s="98" t="s">
        <v>46</v>
      </c>
      <c r="L31" s="63" t="s">
        <v>46</v>
      </c>
      <c r="M31" s="63" t="s">
        <v>46</v>
      </c>
      <c r="N31" s="63"/>
      <c r="O31" s="66" t="s">
        <v>149</v>
      </c>
      <c r="P31" s="66" t="s">
        <v>150</v>
      </c>
      <c r="Q31" s="66">
        <v>1000</v>
      </c>
      <c r="R31" s="72" t="s">
        <v>120</v>
      </c>
      <c r="S31" s="66"/>
      <c r="T31" s="72"/>
      <c r="U31" s="84"/>
      <c r="V31" s="73" t="str">
        <f t="shared" si="4"/>
        <v/>
      </c>
      <c r="W31" s="84"/>
      <c r="X31" s="86"/>
      <c r="Y31" s="86"/>
      <c r="Z31" s="102"/>
      <c r="AA31" s="86"/>
      <c r="AB31" s="102"/>
      <c r="AC31" s="86"/>
      <c r="AD31" s="86"/>
      <c r="AE31" s="86"/>
      <c r="AF31" s="86"/>
      <c r="AG31" s="86"/>
      <c r="AH31" s="102"/>
      <c r="AI31" s="86"/>
      <c r="AJ31" s="102"/>
      <c r="AK31" s="86"/>
      <c r="AL31" s="86"/>
      <c r="AM31" s="86"/>
      <c r="AN31" s="86"/>
      <c r="AO31" s="101" t="s">
        <v>151</v>
      </c>
    </row>
    <row r="32" spans="1:41" x14ac:dyDescent="0.25">
      <c r="A32" s="63">
        <v>30</v>
      </c>
      <c r="B32" s="63" t="s">
        <v>15</v>
      </c>
      <c r="C32" s="64" t="s">
        <v>10</v>
      </c>
      <c r="D32" s="76" t="s">
        <v>152</v>
      </c>
      <c r="E32" s="108" t="s">
        <v>100</v>
      </c>
      <c r="F32" s="101" t="s">
        <v>148</v>
      </c>
      <c r="G32" s="99" t="s">
        <v>5</v>
      </c>
      <c r="H32" s="69" t="s">
        <v>46</v>
      </c>
      <c r="I32" s="69" t="s">
        <v>46</v>
      </c>
      <c r="J32" s="65"/>
      <c r="K32" s="98" t="s">
        <v>46</v>
      </c>
      <c r="L32" s="63" t="s">
        <v>46</v>
      </c>
      <c r="M32" s="63" t="s">
        <v>46</v>
      </c>
      <c r="N32" s="63"/>
      <c r="O32" s="66" t="s">
        <v>149</v>
      </c>
      <c r="P32" s="66" t="s">
        <v>150</v>
      </c>
      <c r="Q32" s="66">
        <v>1000</v>
      </c>
      <c r="R32" s="72" t="s">
        <v>120</v>
      </c>
      <c r="S32" s="66"/>
      <c r="T32" s="72"/>
      <c r="U32" s="84"/>
      <c r="V32" s="73" t="str">
        <f t="shared" si="4"/>
        <v/>
      </c>
      <c r="W32" s="84"/>
      <c r="X32" s="86"/>
      <c r="Y32" s="86"/>
      <c r="Z32" s="102"/>
      <c r="AA32" s="86"/>
      <c r="AB32" s="102"/>
      <c r="AC32" s="86"/>
      <c r="AD32" s="86"/>
      <c r="AE32" s="86"/>
      <c r="AF32" s="86"/>
      <c r="AG32" s="86"/>
      <c r="AH32" s="102"/>
      <c r="AI32" s="86"/>
      <c r="AJ32" s="102"/>
      <c r="AK32" s="86"/>
      <c r="AL32" s="86"/>
      <c r="AM32" s="86"/>
      <c r="AN32" s="86"/>
      <c r="AO32" s="101" t="s">
        <v>153</v>
      </c>
    </row>
    <row r="33" spans="1:41" x14ac:dyDescent="0.25">
      <c r="A33" s="63">
        <v>31</v>
      </c>
      <c r="B33" s="63" t="s">
        <v>15</v>
      </c>
      <c r="C33" s="64" t="s">
        <v>10</v>
      </c>
      <c r="D33" s="76">
        <v>2490447</v>
      </c>
      <c r="E33" s="108" t="s">
        <v>100</v>
      </c>
      <c r="F33" s="101" t="s">
        <v>148</v>
      </c>
      <c r="G33" s="99" t="s">
        <v>5</v>
      </c>
      <c r="H33" s="103" t="s">
        <v>46</v>
      </c>
      <c r="I33" s="69" t="s">
        <v>46</v>
      </c>
      <c r="J33" s="95"/>
      <c r="K33" s="98" t="s">
        <v>46</v>
      </c>
      <c r="L33" s="97">
        <v>46098</v>
      </c>
      <c r="M33" s="84"/>
      <c r="N33" s="84"/>
      <c r="O33" s="66" t="s">
        <v>149</v>
      </c>
      <c r="P33" s="66" t="s">
        <v>150</v>
      </c>
      <c r="Q33" s="66">
        <v>600</v>
      </c>
      <c r="R33" s="72" t="s">
        <v>120</v>
      </c>
      <c r="S33" s="66"/>
      <c r="T33" s="72"/>
      <c r="U33" s="84"/>
      <c r="V33" s="73" t="str">
        <f t="shared" si="4"/>
        <v/>
      </c>
      <c r="W33" s="84"/>
      <c r="X33" s="86"/>
      <c r="Y33" s="86"/>
      <c r="Z33" s="102"/>
      <c r="AA33" s="86"/>
      <c r="AB33" s="102"/>
      <c r="AC33" s="86"/>
      <c r="AD33" s="86"/>
      <c r="AE33" s="86"/>
      <c r="AF33" s="86"/>
      <c r="AG33" s="86"/>
      <c r="AH33" s="102"/>
      <c r="AI33" s="86"/>
      <c r="AJ33" s="102"/>
      <c r="AK33" s="86"/>
      <c r="AL33" s="86"/>
      <c r="AM33" s="86"/>
      <c r="AN33" s="86"/>
      <c r="AO33" s="101" t="s">
        <v>153</v>
      </c>
    </row>
    <row r="34" spans="1:41" x14ac:dyDescent="0.25">
      <c r="A34" s="63">
        <v>32</v>
      </c>
      <c r="B34" s="63" t="s">
        <v>9</v>
      </c>
      <c r="C34" s="63" t="s">
        <v>66</v>
      </c>
      <c r="D34" s="76" t="s">
        <v>154</v>
      </c>
      <c r="E34" s="66" t="s">
        <v>82</v>
      </c>
      <c r="F34" s="101" t="s">
        <v>155</v>
      </c>
      <c r="G34" s="99" t="s">
        <v>5</v>
      </c>
      <c r="H34" s="103" t="s">
        <v>46</v>
      </c>
      <c r="I34" s="69" t="s">
        <v>46</v>
      </c>
      <c r="J34" s="95"/>
      <c r="K34" s="98" t="s">
        <v>46</v>
      </c>
      <c r="L34" s="63" t="s">
        <v>46</v>
      </c>
      <c r="M34" s="63" t="s">
        <v>46</v>
      </c>
      <c r="N34" s="63"/>
      <c r="O34" s="66" t="s">
        <v>58</v>
      </c>
      <c r="P34" s="66" t="s">
        <v>136</v>
      </c>
      <c r="Q34" s="66">
        <v>5</v>
      </c>
      <c r="R34" s="72">
        <v>46125</v>
      </c>
      <c r="S34" s="66">
        <v>55</v>
      </c>
      <c r="T34" s="72"/>
      <c r="U34" s="84"/>
      <c r="V34" s="73" t="str">
        <f t="shared" si="4"/>
        <v/>
      </c>
      <c r="W34" s="84"/>
      <c r="X34" s="86"/>
      <c r="Y34" s="86"/>
      <c r="Z34" s="102"/>
      <c r="AA34" s="86"/>
      <c r="AB34" s="102"/>
      <c r="AC34" s="86"/>
      <c r="AD34" s="86"/>
      <c r="AE34" s="86"/>
      <c r="AF34" s="86"/>
      <c r="AG34" s="86"/>
      <c r="AH34" s="102"/>
      <c r="AI34" s="86"/>
      <c r="AJ34" s="102"/>
      <c r="AK34" s="86"/>
      <c r="AL34" s="86"/>
      <c r="AM34" s="86"/>
      <c r="AN34" s="86"/>
      <c r="AO34" s="101" t="s">
        <v>156</v>
      </c>
    </row>
    <row r="35" spans="1:41" x14ac:dyDescent="0.25">
      <c r="A35" s="63">
        <v>33</v>
      </c>
      <c r="B35" s="63" t="s">
        <v>8</v>
      </c>
      <c r="C35" s="64" t="s">
        <v>8</v>
      </c>
      <c r="D35" s="76" t="s">
        <v>157</v>
      </c>
      <c r="E35" s="66">
        <v>2.4</v>
      </c>
      <c r="F35" s="101"/>
      <c r="G35" s="104" t="s">
        <v>3</v>
      </c>
      <c r="H35" s="103">
        <v>46084</v>
      </c>
      <c r="I35" s="69">
        <v>46086</v>
      </c>
      <c r="J35" s="95"/>
      <c r="K35" s="98"/>
      <c r="L35" s="97"/>
      <c r="M35" s="84"/>
      <c r="N35" s="84"/>
      <c r="O35" s="66"/>
      <c r="P35" s="66"/>
      <c r="Q35" s="66"/>
      <c r="R35" s="72"/>
      <c r="S35" s="66"/>
      <c r="T35" s="72"/>
      <c r="U35" s="84"/>
      <c r="V35" s="73" t="str">
        <f t="shared" si="4"/>
        <v/>
      </c>
      <c r="W35" s="84"/>
      <c r="X35" s="86"/>
      <c r="Y35" s="86"/>
      <c r="Z35" s="102"/>
      <c r="AA35" s="86"/>
      <c r="AB35" s="102"/>
      <c r="AC35" s="86"/>
      <c r="AD35" s="86"/>
      <c r="AE35" s="86"/>
      <c r="AF35" s="86"/>
      <c r="AG35" s="86"/>
      <c r="AH35" s="102"/>
      <c r="AI35" s="86"/>
      <c r="AJ35" s="102"/>
      <c r="AK35" s="86"/>
      <c r="AL35" s="86"/>
      <c r="AM35" s="86"/>
      <c r="AN35" s="86"/>
      <c r="AO35" s="101"/>
    </row>
    <row r="36" spans="1:41" x14ac:dyDescent="0.25">
      <c r="A36" s="63">
        <v>34</v>
      </c>
      <c r="B36" s="63" t="s">
        <v>8</v>
      </c>
      <c r="C36" s="64" t="s">
        <v>8</v>
      </c>
      <c r="D36" s="76" t="s">
        <v>158</v>
      </c>
      <c r="E36" s="66">
        <v>0.1</v>
      </c>
      <c r="F36" s="101"/>
      <c r="G36" s="104" t="s">
        <v>3</v>
      </c>
      <c r="H36" s="103">
        <v>46084</v>
      </c>
      <c r="I36" s="69">
        <v>46086</v>
      </c>
      <c r="J36" s="95"/>
      <c r="K36" s="98"/>
      <c r="L36" s="97"/>
      <c r="M36" s="84"/>
      <c r="N36" s="84"/>
      <c r="O36" s="66"/>
      <c r="P36" s="66"/>
      <c r="Q36" s="66"/>
      <c r="R36" s="72"/>
      <c r="S36" s="66"/>
      <c r="T36" s="72"/>
      <c r="U36" s="84"/>
      <c r="V36" s="73" t="str">
        <f t="shared" si="4"/>
        <v/>
      </c>
      <c r="W36" s="84"/>
      <c r="X36" s="86"/>
      <c r="Y36" s="86"/>
      <c r="Z36" s="102"/>
      <c r="AA36" s="86"/>
      <c r="AB36" s="102"/>
      <c r="AC36" s="86"/>
      <c r="AD36" s="86"/>
      <c r="AE36" s="86"/>
      <c r="AF36" s="86"/>
      <c r="AG36" s="86"/>
      <c r="AH36" s="102"/>
      <c r="AI36" s="86"/>
      <c r="AJ36" s="102"/>
      <c r="AK36" s="86"/>
      <c r="AL36" s="86"/>
      <c r="AM36" s="86"/>
      <c r="AN36" s="86"/>
      <c r="AO36" s="101"/>
    </row>
    <row r="37" spans="1:41" x14ac:dyDescent="0.25">
      <c r="A37" s="63">
        <v>35</v>
      </c>
      <c r="B37" s="63" t="s">
        <v>8</v>
      </c>
      <c r="C37" s="64" t="s">
        <v>8</v>
      </c>
      <c r="D37" s="76" t="s">
        <v>159</v>
      </c>
      <c r="E37" s="66">
        <v>1.7</v>
      </c>
      <c r="F37" s="101"/>
      <c r="G37" s="104" t="s">
        <v>3</v>
      </c>
      <c r="H37" s="103">
        <v>46084</v>
      </c>
      <c r="I37" s="69">
        <v>46086</v>
      </c>
      <c r="J37" s="95"/>
      <c r="K37" s="98"/>
      <c r="L37" s="97"/>
      <c r="M37" s="84"/>
      <c r="N37" s="84"/>
      <c r="O37" s="66"/>
      <c r="P37" s="66"/>
      <c r="Q37" s="66"/>
      <c r="R37" s="72"/>
      <c r="S37" s="66"/>
      <c r="T37" s="72"/>
      <c r="U37" s="84"/>
      <c r="V37" s="73" t="str">
        <f t="shared" si="4"/>
        <v/>
      </c>
      <c r="W37" s="84"/>
      <c r="X37" s="86"/>
      <c r="Y37" s="86"/>
      <c r="Z37" s="102"/>
      <c r="AA37" s="86"/>
      <c r="AB37" s="102"/>
      <c r="AC37" s="86"/>
      <c r="AD37" s="86"/>
      <c r="AE37" s="86"/>
      <c r="AF37" s="86"/>
      <c r="AG37" s="86"/>
      <c r="AH37" s="102"/>
      <c r="AI37" s="86"/>
      <c r="AJ37" s="102"/>
      <c r="AK37" s="86"/>
      <c r="AL37" s="86"/>
      <c r="AM37" s="86"/>
      <c r="AN37" s="86"/>
      <c r="AO37" s="101"/>
    </row>
    <row r="38" spans="1:41" x14ac:dyDescent="0.25">
      <c r="A38" s="63">
        <v>36</v>
      </c>
      <c r="B38" s="63" t="s">
        <v>8</v>
      </c>
      <c r="C38" s="64" t="s">
        <v>8</v>
      </c>
      <c r="D38" s="76" t="s">
        <v>160</v>
      </c>
      <c r="E38" s="66">
        <v>0.14000000000000001</v>
      </c>
      <c r="F38" s="101"/>
      <c r="G38" s="104" t="s">
        <v>3</v>
      </c>
      <c r="H38" s="103">
        <v>46084</v>
      </c>
      <c r="I38" s="69">
        <v>46086</v>
      </c>
      <c r="J38" s="95"/>
      <c r="K38" s="98"/>
      <c r="L38" s="97"/>
      <c r="M38" s="84"/>
      <c r="N38" s="84"/>
      <c r="O38" s="66"/>
      <c r="P38" s="66"/>
      <c r="Q38" s="66"/>
      <c r="R38" s="72"/>
      <c r="S38" s="66"/>
      <c r="T38" s="72"/>
      <c r="U38" s="84"/>
      <c r="V38" s="73" t="str">
        <f t="shared" si="4"/>
        <v/>
      </c>
      <c r="W38" s="84"/>
      <c r="X38" s="86"/>
      <c r="Y38" s="86"/>
      <c r="Z38" s="102"/>
      <c r="AA38" s="86"/>
      <c r="AB38" s="102"/>
      <c r="AC38" s="86"/>
      <c r="AD38" s="86"/>
      <c r="AE38" s="86"/>
      <c r="AF38" s="86"/>
      <c r="AG38" s="86"/>
      <c r="AH38" s="102"/>
      <c r="AI38" s="86"/>
      <c r="AJ38" s="102"/>
      <c r="AK38" s="86"/>
      <c r="AL38" s="86"/>
      <c r="AM38" s="86"/>
      <c r="AN38" s="86"/>
      <c r="AO38" s="101"/>
    </row>
    <row r="39" spans="1:41" x14ac:dyDescent="0.25">
      <c r="A39" s="63">
        <v>37</v>
      </c>
      <c r="B39" s="63" t="s">
        <v>8</v>
      </c>
      <c r="C39" s="64" t="s">
        <v>8</v>
      </c>
      <c r="D39" s="76" t="s">
        <v>161</v>
      </c>
      <c r="E39" s="66">
        <v>6.1</v>
      </c>
      <c r="F39" s="101"/>
      <c r="G39" s="104" t="s">
        <v>3</v>
      </c>
      <c r="H39" s="103">
        <v>46084</v>
      </c>
      <c r="I39" s="69">
        <v>46086</v>
      </c>
      <c r="J39" s="95" t="s">
        <v>162</v>
      </c>
      <c r="K39" s="98"/>
      <c r="L39" s="97"/>
      <c r="M39" s="84"/>
      <c r="N39" s="84"/>
      <c r="O39" s="66"/>
      <c r="P39" s="66"/>
      <c r="Q39" s="66"/>
      <c r="R39" s="72"/>
      <c r="S39" s="66"/>
      <c r="T39" s="72"/>
      <c r="U39" s="84"/>
      <c r="V39" s="73" t="str">
        <f t="shared" si="4"/>
        <v/>
      </c>
      <c r="W39" s="84"/>
      <c r="X39" s="86"/>
      <c r="Y39" s="86"/>
      <c r="Z39" s="102"/>
      <c r="AA39" s="86"/>
      <c r="AB39" s="102"/>
      <c r="AC39" s="86"/>
      <c r="AD39" s="86"/>
      <c r="AE39" s="86"/>
      <c r="AF39" s="86"/>
      <c r="AG39" s="86"/>
      <c r="AH39" s="102"/>
      <c r="AI39" s="86"/>
      <c r="AJ39" s="102"/>
      <c r="AK39" s="86"/>
      <c r="AL39" s="86"/>
      <c r="AM39" s="86"/>
      <c r="AN39" s="86"/>
      <c r="AO39" s="101"/>
    </row>
    <row r="40" spans="1:41" x14ac:dyDescent="0.25">
      <c r="A40" s="63">
        <v>38</v>
      </c>
      <c r="B40" s="63" t="s">
        <v>8</v>
      </c>
      <c r="C40" s="64" t="s">
        <v>8</v>
      </c>
      <c r="D40" s="76" t="s">
        <v>163</v>
      </c>
      <c r="E40" s="66">
        <v>1.5</v>
      </c>
      <c r="F40" s="101"/>
      <c r="G40" s="104" t="s">
        <v>3</v>
      </c>
      <c r="H40" s="103">
        <v>46084</v>
      </c>
      <c r="I40" s="69">
        <v>46086</v>
      </c>
      <c r="J40" s="95"/>
      <c r="K40" s="98"/>
      <c r="L40" s="97"/>
      <c r="M40" s="84"/>
      <c r="N40" s="84"/>
      <c r="O40" s="66"/>
      <c r="P40" s="66"/>
      <c r="Q40" s="66"/>
      <c r="R40" s="72"/>
      <c r="S40" s="66"/>
      <c r="T40" s="72"/>
      <c r="U40" s="84"/>
      <c r="V40" s="73" t="str">
        <f t="shared" si="4"/>
        <v/>
      </c>
      <c r="W40" s="84"/>
      <c r="X40" s="86"/>
      <c r="Y40" s="86"/>
      <c r="Z40" s="102"/>
      <c r="AA40" s="86"/>
      <c r="AB40" s="102"/>
      <c r="AC40" s="86"/>
      <c r="AD40" s="86"/>
      <c r="AE40" s="86"/>
      <c r="AF40" s="86"/>
      <c r="AG40" s="86"/>
      <c r="AH40" s="102"/>
      <c r="AI40" s="86"/>
      <c r="AJ40" s="102"/>
      <c r="AK40" s="86"/>
      <c r="AL40" s="86"/>
      <c r="AM40" s="86"/>
      <c r="AN40" s="86"/>
      <c r="AO40" s="101"/>
    </row>
    <row r="41" spans="1:41" x14ac:dyDescent="0.25">
      <c r="A41" s="63">
        <v>39</v>
      </c>
      <c r="B41" s="63" t="s">
        <v>8</v>
      </c>
      <c r="C41" s="64" t="s">
        <v>8</v>
      </c>
      <c r="D41" s="76" t="s">
        <v>164</v>
      </c>
      <c r="E41" s="66">
        <v>7.7</v>
      </c>
      <c r="F41" s="101"/>
      <c r="G41" s="104" t="s">
        <v>3</v>
      </c>
      <c r="H41" s="103">
        <v>46084</v>
      </c>
      <c r="I41" s="69">
        <v>46086</v>
      </c>
      <c r="J41" s="95"/>
      <c r="K41" s="98"/>
      <c r="L41" s="97"/>
      <c r="M41" s="84"/>
      <c r="N41" s="84"/>
      <c r="O41" s="66"/>
      <c r="P41" s="66"/>
      <c r="Q41" s="66"/>
      <c r="R41" s="72"/>
      <c r="S41" s="66"/>
      <c r="T41" s="72"/>
      <c r="U41" s="84"/>
      <c r="V41" s="73" t="str">
        <f t="shared" si="4"/>
        <v/>
      </c>
      <c r="W41" s="84"/>
      <c r="X41" s="86"/>
      <c r="Y41" s="86"/>
      <c r="Z41" s="102"/>
      <c r="AA41" s="86"/>
      <c r="AB41" s="102"/>
      <c r="AC41" s="86"/>
      <c r="AD41" s="86"/>
      <c r="AE41" s="86"/>
      <c r="AF41" s="86"/>
      <c r="AG41" s="86"/>
      <c r="AH41" s="102"/>
      <c r="AI41" s="86"/>
      <c r="AJ41" s="102"/>
      <c r="AK41" s="86"/>
      <c r="AL41" s="86"/>
      <c r="AM41" s="86"/>
      <c r="AN41" s="86"/>
      <c r="AO41" s="101"/>
    </row>
    <row r="42" spans="1:41" x14ac:dyDescent="0.25">
      <c r="A42" s="63">
        <v>40</v>
      </c>
      <c r="B42" s="63" t="s">
        <v>9</v>
      </c>
      <c r="C42" s="64" t="s">
        <v>9</v>
      </c>
      <c r="D42" s="76" t="s">
        <v>165</v>
      </c>
      <c r="E42" s="108" t="s">
        <v>82</v>
      </c>
      <c r="F42" s="101"/>
      <c r="G42" s="104" t="s">
        <v>3</v>
      </c>
      <c r="H42" s="103">
        <v>46085</v>
      </c>
      <c r="I42" s="69">
        <v>46085</v>
      </c>
      <c r="J42" s="95" t="s">
        <v>166</v>
      </c>
      <c r="K42" s="98">
        <v>35000</v>
      </c>
      <c r="L42" s="97"/>
      <c r="M42" s="84"/>
      <c r="N42" s="84"/>
      <c r="O42" s="66"/>
      <c r="P42" s="66"/>
      <c r="Q42" s="66"/>
      <c r="R42" s="72"/>
      <c r="S42" s="66"/>
      <c r="T42" s="72"/>
      <c r="U42" s="84"/>
      <c r="V42" s="73" t="str">
        <f t="shared" si="4"/>
        <v/>
      </c>
      <c r="W42" s="84"/>
      <c r="X42" s="86"/>
      <c r="Y42" s="86"/>
      <c r="Z42" s="102"/>
      <c r="AA42" s="86"/>
      <c r="AB42" s="102"/>
      <c r="AC42" s="86"/>
      <c r="AD42" s="86"/>
      <c r="AE42" s="86"/>
      <c r="AF42" s="86"/>
      <c r="AG42" s="86"/>
      <c r="AH42" s="102"/>
      <c r="AI42" s="86"/>
      <c r="AJ42" s="102"/>
      <c r="AK42" s="86"/>
      <c r="AL42" s="86"/>
      <c r="AM42" s="86"/>
      <c r="AN42" s="86"/>
      <c r="AO42" s="101"/>
    </row>
    <row r="43" spans="1:41" x14ac:dyDescent="0.25">
      <c r="A43" s="63">
        <v>41</v>
      </c>
      <c r="B43" s="63" t="s">
        <v>9</v>
      </c>
      <c r="C43" s="64" t="s">
        <v>9</v>
      </c>
      <c r="D43" s="76">
        <v>1603123095</v>
      </c>
      <c r="E43" s="108" t="s">
        <v>82</v>
      </c>
      <c r="F43" s="101"/>
      <c r="G43" s="104" t="s">
        <v>3</v>
      </c>
      <c r="H43" s="103">
        <v>46085</v>
      </c>
      <c r="I43" s="69">
        <v>46085</v>
      </c>
      <c r="J43" s="95"/>
      <c r="K43" s="98">
        <v>35000</v>
      </c>
      <c r="L43" s="97"/>
      <c r="M43" s="84"/>
      <c r="N43" s="84"/>
      <c r="O43" s="66"/>
      <c r="P43" s="66"/>
      <c r="Q43" s="66"/>
      <c r="R43" s="72"/>
      <c r="S43" s="66"/>
      <c r="T43" s="72"/>
      <c r="U43" s="84"/>
      <c r="V43" s="73" t="str">
        <f t="shared" si="4"/>
        <v/>
      </c>
      <c r="W43" s="84"/>
      <c r="X43" s="86"/>
      <c r="Y43" s="86"/>
      <c r="Z43" s="102"/>
      <c r="AA43" s="86"/>
      <c r="AB43" s="102"/>
      <c r="AC43" s="86"/>
      <c r="AD43" s="86"/>
      <c r="AE43" s="86"/>
      <c r="AF43" s="86"/>
      <c r="AG43" s="86"/>
      <c r="AH43" s="102"/>
      <c r="AI43" s="86"/>
      <c r="AJ43" s="102"/>
      <c r="AK43" s="86"/>
      <c r="AL43" s="86"/>
      <c r="AM43" s="86"/>
      <c r="AN43" s="86"/>
      <c r="AO43" s="101"/>
    </row>
    <row r="44" spans="1:41" x14ac:dyDescent="0.25">
      <c r="A44" s="63">
        <v>42</v>
      </c>
      <c r="B44" s="63" t="s">
        <v>9</v>
      </c>
      <c r="C44" s="64" t="s">
        <v>9</v>
      </c>
      <c r="D44" s="76">
        <v>1603123096</v>
      </c>
      <c r="E44" s="108" t="s">
        <v>82</v>
      </c>
      <c r="F44" s="101"/>
      <c r="G44" s="104" t="s">
        <v>3</v>
      </c>
      <c r="H44" s="103">
        <v>46085</v>
      </c>
      <c r="I44" s="69">
        <v>46085</v>
      </c>
      <c r="J44" s="95" t="s">
        <v>167</v>
      </c>
      <c r="K44" s="98">
        <v>35000</v>
      </c>
      <c r="L44" s="97"/>
      <c r="M44" s="84"/>
      <c r="N44" s="84"/>
      <c r="O44" s="66"/>
      <c r="P44" s="66"/>
      <c r="Q44" s="66"/>
      <c r="R44" s="72"/>
      <c r="S44" s="66"/>
      <c r="T44" s="72"/>
      <c r="U44" s="84"/>
      <c r="V44" s="73" t="str">
        <f t="shared" si="4"/>
        <v/>
      </c>
      <c r="W44" s="84"/>
      <c r="X44" s="86"/>
      <c r="Y44" s="86"/>
      <c r="Z44" s="102"/>
      <c r="AA44" s="86"/>
      <c r="AB44" s="102"/>
      <c r="AC44" s="86"/>
      <c r="AD44" s="86"/>
      <c r="AE44" s="86"/>
      <c r="AF44" s="86"/>
      <c r="AG44" s="86"/>
      <c r="AH44" s="102"/>
      <c r="AI44" s="86"/>
      <c r="AJ44" s="102"/>
      <c r="AK44" s="86"/>
      <c r="AL44" s="86"/>
      <c r="AM44" s="86"/>
      <c r="AN44" s="86"/>
      <c r="AO44" s="101"/>
    </row>
    <row r="45" spans="1:41" x14ac:dyDescent="0.25">
      <c r="A45" s="63">
        <v>43</v>
      </c>
      <c r="B45" s="63" t="s">
        <v>9</v>
      </c>
      <c r="C45" s="64" t="s">
        <v>66</v>
      </c>
      <c r="D45" s="76" t="s">
        <v>168</v>
      </c>
      <c r="E45" s="108" t="s">
        <v>82</v>
      </c>
      <c r="F45" s="101"/>
      <c r="G45" s="104" t="s">
        <v>3</v>
      </c>
      <c r="H45" s="103">
        <v>46093</v>
      </c>
      <c r="I45" s="69">
        <v>46093</v>
      </c>
      <c r="J45" s="95"/>
      <c r="K45" s="98">
        <v>20000</v>
      </c>
      <c r="L45" s="97"/>
      <c r="M45" s="84"/>
      <c r="N45" s="84"/>
      <c r="O45" s="66"/>
      <c r="P45" s="66"/>
      <c r="Q45" s="66"/>
      <c r="R45" s="72"/>
      <c r="S45" s="66"/>
      <c r="T45" s="72"/>
      <c r="U45" s="84"/>
      <c r="V45" s="73" t="str">
        <f t="shared" si="4"/>
        <v/>
      </c>
      <c r="W45" s="84"/>
      <c r="X45" s="86"/>
      <c r="Y45" s="86"/>
      <c r="Z45" s="102"/>
      <c r="AA45" s="86"/>
      <c r="AB45" s="102"/>
      <c r="AC45" s="86"/>
      <c r="AD45" s="86"/>
      <c r="AE45" s="86"/>
      <c r="AF45" s="86"/>
      <c r="AG45" s="86"/>
      <c r="AH45" s="102"/>
      <c r="AI45" s="86"/>
      <c r="AJ45" s="102"/>
      <c r="AK45" s="86"/>
      <c r="AL45" s="86"/>
      <c r="AM45" s="86"/>
      <c r="AN45" s="86"/>
      <c r="AO45" s="101"/>
    </row>
    <row r="46" spans="1:41" x14ac:dyDescent="0.25">
      <c r="A46" s="63">
        <v>44</v>
      </c>
      <c r="B46" s="63" t="s">
        <v>9</v>
      </c>
      <c r="C46" s="64" t="s">
        <v>66</v>
      </c>
      <c r="D46" s="76" t="s">
        <v>169</v>
      </c>
      <c r="E46" s="108" t="s">
        <v>82</v>
      </c>
      <c r="F46" s="101"/>
      <c r="G46" s="104" t="s">
        <v>3</v>
      </c>
      <c r="H46" s="103">
        <v>46093</v>
      </c>
      <c r="I46" s="69">
        <v>46093</v>
      </c>
      <c r="J46" s="95"/>
      <c r="K46" s="98">
        <v>540000</v>
      </c>
      <c r="L46" s="97"/>
      <c r="M46" s="84"/>
      <c r="N46" s="84"/>
      <c r="O46" s="66"/>
      <c r="P46" s="66"/>
      <c r="Q46" s="66"/>
      <c r="R46" s="72"/>
      <c r="S46" s="66"/>
      <c r="T46" s="72"/>
      <c r="U46" s="84"/>
      <c r="V46" s="73" t="str">
        <f t="shared" si="4"/>
        <v/>
      </c>
      <c r="W46" s="84"/>
      <c r="X46" s="86"/>
      <c r="Y46" s="86"/>
      <c r="Z46" s="102"/>
      <c r="AA46" s="86"/>
      <c r="AB46" s="102"/>
      <c r="AC46" s="86"/>
      <c r="AD46" s="86"/>
      <c r="AE46" s="86"/>
      <c r="AF46" s="86"/>
      <c r="AG46" s="86"/>
      <c r="AH46" s="102"/>
      <c r="AI46" s="86"/>
      <c r="AJ46" s="102"/>
      <c r="AK46" s="86"/>
      <c r="AL46" s="86"/>
      <c r="AM46" s="86"/>
      <c r="AN46" s="86"/>
      <c r="AO46" s="101"/>
    </row>
    <row r="47" spans="1:41" x14ac:dyDescent="0.25">
      <c r="A47" s="63">
        <v>45</v>
      </c>
      <c r="B47" s="63" t="s">
        <v>9</v>
      </c>
      <c r="C47" s="64" t="s">
        <v>66</v>
      </c>
      <c r="D47" s="76" t="s">
        <v>170</v>
      </c>
      <c r="E47" s="108" t="s">
        <v>82</v>
      </c>
      <c r="F47" s="101" t="s">
        <v>140</v>
      </c>
      <c r="G47" s="99" t="s">
        <v>5</v>
      </c>
      <c r="H47" s="103">
        <v>46093</v>
      </c>
      <c r="I47" s="69">
        <v>46093</v>
      </c>
      <c r="J47" s="95" t="s">
        <v>171</v>
      </c>
      <c r="K47" s="98">
        <v>1000000</v>
      </c>
      <c r="L47" s="97">
        <v>46113</v>
      </c>
      <c r="M47" s="84"/>
      <c r="N47" s="84"/>
      <c r="O47" s="66" t="s">
        <v>58</v>
      </c>
      <c r="P47" s="66" t="s">
        <v>172</v>
      </c>
      <c r="Q47" s="66">
        <v>100</v>
      </c>
      <c r="R47" s="72" t="s">
        <v>120</v>
      </c>
      <c r="S47" s="66">
        <v>300</v>
      </c>
      <c r="T47" s="72"/>
      <c r="U47" s="84"/>
      <c r="V47" s="73" t="str">
        <f t="shared" si="4"/>
        <v/>
      </c>
      <c r="W47" s="84"/>
      <c r="X47" s="86"/>
      <c r="Y47" s="86"/>
      <c r="Z47" s="102"/>
      <c r="AA47" s="86"/>
      <c r="AB47" s="102"/>
      <c r="AC47" s="86"/>
      <c r="AD47" s="86"/>
      <c r="AE47" s="86"/>
      <c r="AF47" s="86"/>
      <c r="AG47" s="86"/>
      <c r="AH47" s="102"/>
      <c r="AI47" s="86"/>
      <c r="AJ47" s="102"/>
      <c r="AK47" s="86"/>
      <c r="AL47" s="86"/>
      <c r="AM47" s="86"/>
      <c r="AN47" s="86"/>
      <c r="AO47" s="101" t="s">
        <v>173</v>
      </c>
    </row>
    <row r="48" spans="1:41" x14ac:dyDescent="0.25">
      <c r="A48" s="63">
        <v>46</v>
      </c>
      <c r="B48" s="63" t="s">
        <v>9</v>
      </c>
      <c r="C48" s="64" t="s">
        <v>66</v>
      </c>
      <c r="D48" s="76" t="s">
        <v>174</v>
      </c>
      <c r="E48" s="108" t="s">
        <v>82</v>
      </c>
      <c r="F48" s="101" t="s">
        <v>140</v>
      </c>
      <c r="G48" s="99" t="s">
        <v>5</v>
      </c>
      <c r="H48" s="103">
        <v>46093</v>
      </c>
      <c r="I48" s="69">
        <v>46093</v>
      </c>
      <c r="J48" s="95" t="s">
        <v>171</v>
      </c>
      <c r="K48" s="98">
        <v>1000000</v>
      </c>
      <c r="L48" s="97">
        <v>46113</v>
      </c>
      <c r="M48" s="84"/>
      <c r="N48" s="84"/>
      <c r="O48" s="66" t="s">
        <v>58</v>
      </c>
      <c r="P48" s="66" t="s">
        <v>172</v>
      </c>
      <c r="Q48" s="66">
        <v>100</v>
      </c>
      <c r="R48" s="72" t="s">
        <v>120</v>
      </c>
      <c r="S48" s="66">
        <v>200</v>
      </c>
      <c r="T48" s="72"/>
      <c r="U48" s="84"/>
      <c r="V48" s="73" t="str">
        <f t="shared" si="4"/>
        <v/>
      </c>
      <c r="W48" s="84"/>
      <c r="X48" s="86"/>
      <c r="Y48" s="86"/>
      <c r="Z48" s="102"/>
      <c r="AA48" s="86"/>
      <c r="AB48" s="102"/>
      <c r="AC48" s="86"/>
      <c r="AD48" s="86"/>
      <c r="AE48" s="86"/>
      <c r="AF48" s="86"/>
      <c r="AG48" s="86"/>
      <c r="AH48" s="102"/>
      <c r="AI48" s="86"/>
      <c r="AJ48" s="102"/>
      <c r="AK48" s="86"/>
      <c r="AL48" s="86"/>
      <c r="AM48" s="86"/>
      <c r="AN48" s="86"/>
      <c r="AO48" s="101" t="s">
        <v>175</v>
      </c>
    </row>
    <row r="49" spans="1:41" x14ac:dyDescent="0.25">
      <c r="A49" s="63">
        <v>47</v>
      </c>
      <c r="B49" s="63" t="s">
        <v>9</v>
      </c>
      <c r="C49" s="64" t="s">
        <v>66</v>
      </c>
      <c r="D49" s="76" t="s">
        <v>176</v>
      </c>
      <c r="E49" s="108" t="s">
        <v>82</v>
      </c>
      <c r="F49" s="101"/>
      <c r="G49" s="104" t="s">
        <v>3</v>
      </c>
      <c r="H49" s="103">
        <v>46094</v>
      </c>
      <c r="I49" s="69">
        <v>46097</v>
      </c>
      <c r="J49" s="95"/>
      <c r="K49" s="98">
        <v>45000</v>
      </c>
      <c r="L49" s="97"/>
      <c r="M49" s="84"/>
      <c r="N49" s="84"/>
      <c r="O49" s="66"/>
      <c r="P49" s="66"/>
      <c r="Q49" s="66"/>
      <c r="R49" s="72"/>
      <c r="S49" s="66"/>
      <c r="T49" s="72"/>
      <c r="U49" s="84"/>
      <c r="V49" s="73" t="str">
        <f t="shared" si="4"/>
        <v/>
      </c>
      <c r="W49" s="84"/>
      <c r="X49" s="86"/>
      <c r="Y49" s="86"/>
      <c r="Z49" s="102"/>
      <c r="AA49" s="86"/>
      <c r="AB49" s="102"/>
      <c r="AC49" s="86"/>
      <c r="AD49" s="86"/>
      <c r="AE49" s="86"/>
      <c r="AF49" s="86"/>
      <c r="AG49" s="86"/>
      <c r="AH49" s="102"/>
      <c r="AI49" s="86"/>
      <c r="AJ49" s="102"/>
      <c r="AK49" s="86"/>
      <c r="AL49" s="86"/>
      <c r="AM49" s="86"/>
      <c r="AN49" s="86"/>
      <c r="AO49" s="101"/>
    </row>
    <row r="50" spans="1:41" x14ac:dyDescent="0.25">
      <c r="A50" s="63">
        <v>48</v>
      </c>
      <c r="B50" s="63" t="s">
        <v>9</v>
      </c>
      <c r="C50" s="64" t="s">
        <v>66</v>
      </c>
      <c r="D50" s="76" t="s">
        <v>177</v>
      </c>
      <c r="E50" s="108" t="s">
        <v>82</v>
      </c>
      <c r="F50" s="101"/>
      <c r="G50" s="104" t="s">
        <v>3</v>
      </c>
      <c r="H50" s="103">
        <v>46094</v>
      </c>
      <c r="I50" s="69">
        <v>46097</v>
      </c>
      <c r="J50" s="95"/>
      <c r="K50" s="98">
        <v>45000</v>
      </c>
      <c r="L50" s="97"/>
      <c r="M50" s="84"/>
      <c r="N50" s="84"/>
      <c r="O50" s="66"/>
      <c r="P50" s="66"/>
      <c r="Q50" s="66"/>
      <c r="R50" s="72"/>
      <c r="S50" s="66"/>
      <c r="T50" s="72"/>
      <c r="U50" s="84"/>
      <c r="V50" s="73" t="str">
        <f t="shared" si="4"/>
        <v/>
      </c>
      <c r="W50" s="84"/>
      <c r="X50" s="86"/>
      <c r="Y50" s="86"/>
      <c r="Z50" s="102"/>
      <c r="AA50" s="86"/>
      <c r="AB50" s="102"/>
      <c r="AC50" s="86"/>
      <c r="AD50" s="86"/>
      <c r="AE50" s="86"/>
      <c r="AF50" s="86"/>
      <c r="AG50" s="86"/>
      <c r="AH50" s="102"/>
      <c r="AI50" s="86"/>
      <c r="AJ50" s="102"/>
      <c r="AK50" s="86"/>
      <c r="AL50" s="86"/>
      <c r="AM50" s="86"/>
      <c r="AN50" s="86"/>
      <c r="AO50" s="101"/>
    </row>
    <row r="51" spans="1:41" x14ac:dyDescent="0.25">
      <c r="A51" s="63">
        <v>49</v>
      </c>
      <c r="B51" s="63" t="s">
        <v>13</v>
      </c>
      <c r="C51" s="64" t="s">
        <v>13</v>
      </c>
      <c r="D51" s="76" t="s">
        <v>178</v>
      </c>
      <c r="E51" s="66">
        <v>1</v>
      </c>
      <c r="F51" s="101"/>
      <c r="G51" s="104" t="s">
        <v>3</v>
      </c>
      <c r="H51" s="103">
        <v>46101</v>
      </c>
      <c r="I51" s="69">
        <v>46104</v>
      </c>
      <c r="J51" s="95" t="s">
        <v>179</v>
      </c>
      <c r="K51" s="98">
        <v>13000</v>
      </c>
      <c r="L51" s="97"/>
      <c r="M51" s="84"/>
      <c r="N51" s="84"/>
      <c r="O51" s="66"/>
      <c r="P51" s="66"/>
      <c r="Q51" s="66"/>
      <c r="R51" s="72"/>
      <c r="S51" s="66"/>
      <c r="T51" s="72"/>
      <c r="U51" s="84"/>
      <c r="V51" s="73" t="str">
        <f t="shared" si="4"/>
        <v/>
      </c>
      <c r="W51" s="84"/>
      <c r="X51" s="86"/>
      <c r="Y51" s="86"/>
      <c r="Z51" s="102"/>
      <c r="AA51" s="86"/>
      <c r="AB51" s="102"/>
      <c r="AC51" s="86"/>
      <c r="AD51" s="86"/>
      <c r="AE51" s="86"/>
      <c r="AF51" s="86"/>
      <c r="AG51" s="86"/>
      <c r="AH51" s="102"/>
      <c r="AI51" s="86"/>
      <c r="AJ51" s="102"/>
      <c r="AK51" s="86"/>
      <c r="AL51" s="86"/>
      <c r="AM51" s="86"/>
      <c r="AN51" s="86"/>
      <c r="AO51" s="101"/>
    </row>
    <row r="52" spans="1:41" x14ac:dyDescent="0.25">
      <c r="A52" s="63">
        <v>50</v>
      </c>
      <c r="B52" s="63" t="s">
        <v>13</v>
      </c>
      <c r="C52" s="64" t="s">
        <v>13</v>
      </c>
      <c r="D52" s="76" t="s">
        <v>180</v>
      </c>
      <c r="E52" s="66">
        <v>2</v>
      </c>
      <c r="F52" s="101"/>
      <c r="G52" s="104" t="s">
        <v>3</v>
      </c>
      <c r="H52" s="103">
        <v>46101</v>
      </c>
      <c r="I52" s="69">
        <v>46104</v>
      </c>
      <c r="J52" s="95" t="s">
        <v>179</v>
      </c>
      <c r="K52" s="98">
        <v>15000</v>
      </c>
      <c r="L52" s="97"/>
      <c r="M52" s="84"/>
      <c r="N52" s="84"/>
      <c r="O52" s="66"/>
      <c r="P52" s="66"/>
      <c r="Q52" s="66"/>
      <c r="R52" s="72"/>
      <c r="S52" s="66"/>
      <c r="T52" s="72"/>
      <c r="U52" s="84"/>
      <c r="V52" s="73" t="str">
        <f t="shared" si="4"/>
        <v/>
      </c>
      <c r="W52" s="84"/>
      <c r="X52" s="86"/>
      <c r="Y52" s="86"/>
      <c r="Z52" s="102"/>
      <c r="AA52" s="86"/>
      <c r="AB52" s="102"/>
      <c r="AC52" s="86"/>
      <c r="AD52" s="86"/>
      <c r="AE52" s="86"/>
      <c r="AF52" s="86"/>
      <c r="AG52" s="86"/>
      <c r="AH52" s="102"/>
      <c r="AI52" s="86"/>
      <c r="AJ52" s="102"/>
      <c r="AK52" s="86"/>
      <c r="AL52" s="86"/>
      <c r="AM52" s="86"/>
      <c r="AN52" s="86"/>
      <c r="AO52" s="101"/>
    </row>
    <row r="53" spans="1:41" x14ac:dyDescent="0.25">
      <c r="A53" s="63">
        <v>51</v>
      </c>
      <c r="B53" s="63" t="s">
        <v>13</v>
      </c>
      <c r="C53" s="64" t="s">
        <v>13</v>
      </c>
      <c r="D53" s="76" t="s">
        <v>181</v>
      </c>
      <c r="E53" s="108" t="s">
        <v>182</v>
      </c>
      <c r="F53" s="101"/>
      <c r="G53" s="104" t="s">
        <v>3</v>
      </c>
      <c r="H53" s="103">
        <v>46101</v>
      </c>
      <c r="I53" s="69">
        <v>46104</v>
      </c>
      <c r="J53" s="95" t="s">
        <v>179</v>
      </c>
      <c r="K53" s="98">
        <v>18000</v>
      </c>
      <c r="L53" s="97"/>
      <c r="M53" s="84"/>
      <c r="N53" s="84"/>
      <c r="O53" s="66"/>
      <c r="P53" s="66"/>
      <c r="Q53" s="66"/>
      <c r="R53" s="72"/>
      <c r="S53" s="66"/>
      <c r="T53" s="72"/>
      <c r="U53" s="84"/>
      <c r="V53" s="73" t="str">
        <f t="shared" si="4"/>
        <v/>
      </c>
      <c r="W53" s="84"/>
      <c r="X53" s="86"/>
      <c r="Y53" s="86"/>
      <c r="Z53" s="102"/>
      <c r="AA53" s="86"/>
      <c r="AB53" s="102"/>
      <c r="AC53" s="86"/>
      <c r="AD53" s="86"/>
      <c r="AE53" s="86"/>
      <c r="AF53" s="86"/>
      <c r="AG53" s="86"/>
      <c r="AH53" s="102"/>
      <c r="AI53" s="86"/>
      <c r="AJ53" s="102"/>
      <c r="AK53" s="86"/>
      <c r="AL53" s="86"/>
      <c r="AM53" s="86"/>
      <c r="AN53" s="86"/>
      <c r="AO53" s="101"/>
    </row>
    <row r="54" spans="1:41" x14ac:dyDescent="0.25">
      <c r="A54" s="63">
        <v>52</v>
      </c>
      <c r="B54" s="63" t="s">
        <v>13</v>
      </c>
      <c r="C54" s="64" t="s">
        <v>13</v>
      </c>
      <c r="D54" s="76" t="s">
        <v>183</v>
      </c>
      <c r="E54" s="108" t="s">
        <v>184</v>
      </c>
      <c r="F54" s="101"/>
      <c r="G54" s="104" t="s">
        <v>3</v>
      </c>
      <c r="H54" s="103">
        <v>46101</v>
      </c>
      <c r="I54" s="69">
        <v>46104</v>
      </c>
      <c r="J54" s="95"/>
      <c r="K54" s="98">
        <v>40000</v>
      </c>
      <c r="L54" s="97"/>
      <c r="M54" s="84"/>
      <c r="N54" s="84"/>
      <c r="O54" s="66"/>
      <c r="P54" s="66"/>
      <c r="Q54" s="66"/>
      <c r="R54" s="72"/>
      <c r="S54" s="66"/>
      <c r="T54" s="72"/>
      <c r="U54" s="84"/>
      <c r="V54" s="73" t="str">
        <f t="shared" si="4"/>
        <v/>
      </c>
      <c r="W54" s="84"/>
      <c r="X54" s="86"/>
      <c r="Y54" s="86"/>
      <c r="Z54" s="102"/>
      <c r="AA54" s="86"/>
      <c r="AB54" s="102"/>
      <c r="AC54" s="86"/>
      <c r="AD54" s="86"/>
      <c r="AE54" s="86"/>
      <c r="AF54" s="86"/>
      <c r="AG54" s="86"/>
      <c r="AH54" s="102"/>
      <c r="AI54" s="86"/>
      <c r="AJ54" s="102"/>
      <c r="AK54" s="86"/>
      <c r="AL54" s="86"/>
      <c r="AM54" s="86"/>
      <c r="AN54" s="86"/>
      <c r="AO54" s="101"/>
    </row>
    <row r="55" spans="1:41" x14ac:dyDescent="0.25">
      <c r="A55" s="63">
        <v>53</v>
      </c>
      <c r="B55" s="63" t="s">
        <v>9</v>
      </c>
      <c r="C55" s="64" t="s">
        <v>66</v>
      </c>
      <c r="D55" s="76" t="s">
        <v>185</v>
      </c>
      <c r="E55" s="108" t="s">
        <v>186</v>
      </c>
      <c r="F55" s="101"/>
      <c r="G55" s="104" t="s">
        <v>3</v>
      </c>
      <c r="H55" s="103">
        <v>46105</v>
      </c>
      <c r="I55" s="69">
        <v>46106</v>
      </c>
      <c r="J55" s="95"/>
      <c r="K55" s="98">
        <v>600000</v>
      </c>
      <c r="L55" s="97"/>
      <c r="M55" s="84"/>
      <c r="N55" s="84"/>
      <c r="O55" s="66"/>
      <c r="P55" s="66"/>
      <c r="Q55" s="66"/>
      <c r="R55" s="72"/>
      <c r="S55" s="66"/>
      <c r="T55" s="72"/>
      <c r="U55" s="84"/>
      <c r="V55" s="73" t="str">
        <f t="shared" si="4"/>
        <v/>
      </c>
      <c r="W55" s="84"/>
      <c r="X55" s="86"/>
      <c r="Y55" s="86"/>
      <c r="Z55" s="102"/>
      <c r="AA55" s="86"/>
      <c r="AB55" s="102"/>
      <c r="AC55" s="86"/>
      <c r="AD55" s="86"/>
      <c r="AE55" s="86"/>
      <c r="AF55" s="86"/>
      <c r="AG55" s="86"/>
      <c r="AH55" s="102"/>
      <c r="AI55" s="86"/>
      <c r="AJ55" s="102"/>
      <c r="AK55" s="86"/>
      <c r="AL55" s="86"/>
      <c r="AM55" s="86"/>
      <c r="AN55" s="86"/>
      <c r="AO55" s="101"/>
    </row>
    <row r="56" spans="1:41" x14ac:dyDescent="0.25">
      <c r="A56" s="63">
        <v>54</v>
      </c>
      <c r="B56" s="63" t="s">
        <v>17</v>
      </c>
      <c r="C56" s="64" t="s">
        <v>66</v>
      </c>
      <c r="D56" s="76" t="s">
        <v>187</v>
      </c>
      <c r="E56" s="66">
        <v>0</v>
      </c>
      <c r="F56" s="101"/>
      <c r="G56" s="104" t="s">
        <v>3</v>
      </c>
      <c r="H56" s="103">
        <v>46105</v>
      </c>
      <c r="I56" s="69">
        <v>46106</v>
      </c>
      <c r="J56" s="95" t="s">
        <v>188</v>
      </c>
      <c r="K56" s="98">
        <v>600000</v>
      </c>
      <c r="L56" s="97"/>
      <c r="M56" s="84"/>
      <c r="N56" s="84"/>
      <c r="O56" s="66"/>
      <c r="P56" s="66"/>
      <c r="Q56" s="66"/>
      <c r="R56" s="72"/>
      <c r="S56" s="66"/>
      <c r="T56" s="72"/>
      <c r="U56" s="84"/>
      <c r="V56" s="73" t="str">
        <f t="shared" si="4"/>
        <v/>
      </c>
      <c r="W56" s="84"/>
      <c r="X56" s="86"/>
      <c r="Y56" s="86"/>
      <c r="Z56" s="102"/>
      <c r="AA56" s="86"/>
      <c r="AB56" s="102"/>
      <c r="AC56" s="86"/>
      <c r="AD56" s="86"/>
      <c r="AE56" s="86"/>
      <c r="AF56" s="86"/>
      <c r="AG56" s="86"/>
      <c r="AH56" s="102"/>
      <c r="AI56" s="86"/>
      <c r="AJ56" s="102"/>
      <c r="AK56" s="86"/>
      <c r="AL56" s="86"/>
      <c r="AM56" s="86"/>
      <c r="AN56" s="86"/>
      <c r="AO56" s="101"/>
    </row>
    <row r="57" spans="1:41" x14ac:dyDescent="0.25">
      <c r="A57" s="63">
        <v>55</v>
      </c>
      <c r="B57" s="63" t="s">
        <v>12</v>
      </c>
      <c r="C57" s="64" t="s">
        <v>12</v>
      </c>
      <c r="D57" s="76">
        <v>623899001</v>
      </c>
      <c r="E57" s="108" t="s">
        <v>182</v>
      </c>
      <c r="F57" s="101"/>
      <c r="G57" s="104" t="s">
        <v>3</v>
      </c>
      <c r="H57" s="103">
        <v>46106</v>
      </c>
      <c r="I57" s="69">
        <v>46106</v>
      </c>
      <c r="J57" s="95" t="s">
        <v>189</v>
      </c>
      <c r="K57" s="98">
        <v>300000</v>
      </c>
      <c r="L57" s="97"/>
      <c r="M57" s="84"/>
      <c r="N57" s="84"/>
      <c r="O57" s="66"/>
      <c r="P57" s="66"/>
      <c r="Q57" s="66"/>
      <c r="R57" s="72"/>
      <c r="S57" s="66"/>
      <c r="T57" s="72"/>
      <c r="U57" s="84"/>
      <c r="V57" s="73" t="str">
        <f t="shared" si="4"/>
        <v/>
      </c>
      <c r="W57" s="84"/>
      <c r="X57" s="86"/>
      <c r="Y57" s="86"/>
      <c r="Z57" s="102"/>
      <c r="AA57" s="86"/>
      <c r="AB57" s="102"/>
      <c r="AC57" s="86"/>
      <c r="AD57" s="86"/>
      <c r="AE57" s="86"/>
      <c r="AF57" s="86"/>
      <c r="AG57" s="86"/>
      <c r="AH57" s="102"/>
      <c r="AI57" s="86"/>
      <c r="AJ57" s="102"/>
      <c r="AK57" s="86"/>
      <c r="AL57" s="86"/>
      <c r="AM57" s="86"/>
      <c r="AN57" s="86"/>
      <c r="AO57" s="101"/>
    </row>
    <row r="58" spans="1:41" x14ac:dyDescent="0.25">
      <c r="A58" s="63">
        <v>56</v>
      </c>
      <c r="B58" s="63" t="s">
        <v>9</v>
      </c>
      <c r="C58" s="64" t="s">
        <v>80</v>
      </c>
      <c r="D58" s="76">
        <v>1603060061</v>
      </c>
      <c r="E58" s="108" t="s">
        <v>190</v>
      </c>
      <c r="F58" s="101"/>
      <c r="G58" s="104" t="s">
        <v>3</v>
      </c>
      <c r="H58" s="103">
        <v>46108</v>
      </c>
      <c r="I58" s="69">
        <v>46111</v>
      </c>
      <c r="J58" s="95"/>
      <c r="K58" s="98">
        <v>30000</v>
      </c>
      <c r="L58" s="97"/>
      <c r="M58" s="84"/>
      <c r="N58" s="84"/>
      <c r="O58" s="66"/>
      <c r="P58" s="66"/>
      <c r="Q58" s="66"/>
      <c r="R58" s="72"/>
      <c r="S58" s="66"/>
      <c r="T58" s="72"/>
      <c r="U58" s="84"/>
      <c r="V58" s="73" t="str">
        <f t="shared" si="4"/>
        <v/>
      </c>
      <c r="W58" s="84"/>
      <c r="X58" s="86"/>
      <c r="Y58" s="86"/>
      <c r="Z58" s="102"/>
      <c r="AA58" s="86"/>
      <c r="AB58" s="102"/>
      <c r="AC58" s="86"/>
      <c r="AD58" s="86"/>
      <c r="AE58" s="86"/>
      <c r="AF58" s="86"/>
      <c r="AG58" s="86"/>
      <c r="AH58" s="102"/>
      <c r="AI58" s="86"/>
      <c r="AJ58" s="102"/>
      <c r="AK58" s="86"/>
      <c r="AL58" s="86"/>
      <c r="AM58" s="86"/>
      <c r="AN58" s="86"/>
      <c r="AO58" s="101"/>
    </row>
    <row r="59" spans="1:41" x14ac:dyDescent="0.25">
      <c r="A59" s="63">
        <v>57</v>
      </c>
      <c r="B59" s="63" t="s">
        <v>9</v>
      </c>
      <c r="C59" s="64" t="s">
        <v>80</v>
      </c>
      <c r="D59" s="76">
        <v>1603060060</v>
      </c>
      <c r="E59" s="108" t="s">
        <v>190</v>
      </c>
      <c r="F59" s="101"/>
      <c r="G59" s="104" t="s">
        <v>3</v>
      </c>
      <c r="H59" s="103">
        <v>46108</v>
      </c>
      <c r="I59" s="69">
        <v>46111</v>
      </c>
      <c r="J59" s="95"/>
      <c r="K59" s="98">
        <v>35000</v>
      </c>
      <c r="L59" s="97"/>
      <c r="M59" s="84"/>
      <c r="N59" s="84"/>
      <c r="O59" s="66"/>
      <c r="P59" s="66"/>
      <c r="Q59" s="66"/>
      <c r="R59" s="72"/>
      <c r="S59" s="66"/>
      <c r="T59" s="72"/>
      <c r="U59" s="84"/>
      <c r="V59" s="73" t="str">
        <f t="shared" si="4"/>
        <v/>
      </c>
      <c r="W59" s="84"/>
      <c r="X59" s="86"/>
      <c r="Y59" s="86"/>
      <c r="Z59" s="102"/>
      <c r="AA59" s="86"/>
      <c r="AB59" s="102"/>
      <c r="AC59" s="86"/>
      <c r="AD59" s="86"/>
      <c r="AE59" s="86"/>
      <c r="AF59" s="86"/>
      <c r="AG59" s="86"/>
      <c r="AH59" s="102"/>
      <c r="AI59" s="86"/>
      <c r="AJ59" s="102"/>
      <c r="AK59" s="86"/>
      <c r="AL59" s="86"/>
      <c r="AM59" s="86"/>
      <c r="AN59" s="86"/>
      <c r="AO59" s="101"/>
    </row>
    <row r="60" spans="1:41" x14ac:dyDescent="0.25">
      <c r="A60" s="63">
        <v>58</v>
      </c>
      <c r="B60" s="63" t="s">
        <v>9</v>
      </c>
      <c r="C60" s="64" t="s">
        <v>80</v>
      </c>
      <c r="D60" s="76">
        <v>1610390051</v>
      </c>
      <c r="E60" s="108" t="s">
        <v>191</v>
      </c>
      <c r="F60" s="101"/>
      <c r="G60" s="104" t="s">
        <v>3</v>
      </c>
      <c r="H60" s="103">
        <v>46108</v>
      </c>
      <c r="I60" s="69">
        <v>46111</v>
      </c>
      <c r="J60" s="95"/>
      <c r="K60" s="98">
        <v>300000</v>
      </c>
      <c r="L60" s="97"/>
      <c r="M60" s="84"/>
      <c r="N60" s="84"/>
      <c r="O60" s="66"/>
      <c r="P60" s="66"/>
      <c r="Q60" s="66"/>
      <c r="R60" s="72"/>
      <c r="S60" s="66"/>
      <c r="T60" s="72"/>
      <c r="U60" s="84"/>
      <c r="V60" s="73" t="str">
        <f t="shared" si="4"/>
        <v/>
      </c>
      <c r="W60" s="84"/>
      <c r="X60" s="86"/>
      <c r="Y60" s="86"/>
      <c r="Z60" s="102"/>
      <c r="AA60" s="86"/>
      <c r="AB60" s="102"/>
      <c r="AC60" s="86"/>
      <c r="AD60" s="86"/>
      <c r="AE60" s="86"/>
      <c r="AF60" s="86"/>
      <c r="AG60" s="86"/>
      <c r="AH60" s="102"/>
      <c r="AI60" s="86"/>
      <c r="AJ60" s="102"/>
      <c r="AK60" s="86"/>
      <c r="AL60" s="86"/>
      <c r="AM60" s="86"/>
      <c r="AN60" s="86"/>
      <c r="AO60" s="101"/>
    </row>
    <row r="61" spans="1:41" x14ac:dyDescent="0.25">
      <c r="A61" s="63">
        <v>59</v>
      </c>
      <c r="B61" s="63" t="s">
        <v>9</v>
      </c>
      <c r="C61" s="64" t="s">
        <v>80</v>
      </c>
      <c r="D61" s="76">
        <v>1610390068</v>
      </c>
      <c r="E61" s="108" t="s">
        <v>192</v>
      </c>
      <c r="F61" s="101"/>
      <c r="G61" s="104" t="s">
        <v>3</v>
      </c>
      <c r="H61" s="103">
        <v>46108</v>
      </c>
      <c r="I61" s="69">
        <v>46111</v>
      </c>
      <c r="J61" s="95"/>
      <c r="K61" s="98">
        <v>54000</v>
      </c>
      <c r="L61" s="97"/>
      <c r="M61" s="84"/>
      <c r="N61" s="84"/>
      <c r="O61" s="66"/>
      <c r="P61" s="66"/>
      <c r="Q61" s="66"/>
      <c r="R61" s="72"/>
      <c r="S61" s="66"/>
      <c r="T61" s="72"/>
      <c r="U61" s="84"/>
      <c r="V61" s="73" t="str">
        <f t="shared" si="4"/>
        <v/>
      </c>
      <c r="W61" s="84"/>
      <c r="X61" s="86"/>
      <c r="Y61" s="86"/>
      <c r="Z61" s="102"/>
      <c r="AA61" s="86"/>
      <c r="AB61" s="102"/>
      <c r="AC61" s="86"/>
      <c r="AD61" s="86"/>
      <c r="AE61" s="86"/>
      <c r="AF61" s="86"/>
      <c r="AG61" s="86"/>
      <c r="AH61" s="102"/>
      <c r="AI61" s="86"/>
      <c r="AJ61" s="102"/>
      <c r="AK61" s="86"/>
      <c r="AL61" s="86"/>
      <c r="AM61" s="86"/>
      <c r="AN61" s="86"/>
      <c r="AO61" s="101"/>
    </row>
    <row r="62" spans="1:41" x14ac:dyDescent="0.25">
      <c r="A62" s="63">
        <v>60</v>
      </c>
      <c r="B62" s="63" t="s">
        <v>9</v>
      </c>
      <c r="C62" s="64" t="s">
        <v>80</v>
      </c>
      <c r="D62" s="76" t="s">
        <v>193</v>
      </c>
      <c r="E62" s="108" t="s">
        <v>194</v>
      </c>
      <c r="F62" s="101"/>
      <c r="G62" s="104" t="s">
        <v>3</v>
      </c>
      <c r="H62" s="103">
        <v>46108</v>
      </c>
      <c r="I62" s="69">
        <v>46111</v>
      </c>
      <c r="J62" s="95"/>
      <c r="K62" s="98">
        <v>150000</v>
      </c>
      <c r="L62" s="97"/>
      <c r="M62" s="84"/>
      <c r="N62" s="84"/>
      <c r="O62" s="66"/>
      <c r="P62" s="66"/>
      <c r="Q62" s="66"/>
      <c r="R62" s="72"/>
      <c r="S62" s="66"/>
      <c r="T62" s="72"/>
      <c r="U62" s="84"/>
      <c r="V62" s="73" t="str">
        <f t="shared" si="4"/>
        <v/>
      </c>
      <c r="W62" s="84"/>
      <c r="X62" s="86"/>
      <c r="Y62" s="86"/>
      <c r="Z62" s="102"/>
      <c r="AA62" s="86"/>
      <c r="AB62" s="102"/>
      <c r="AC62" s="86"/>
      <c r="AD62" s="86"/>
      <c r="AE62" s="86"/>
      <c r="AF62" s="86"/>
      <c r="AG62" s="86"/>
      <c r="AH62" s="102"/>
      <c r="AI62" s="86"/>
      <c r="AJ62" s="102"/>
      <c r="AK62" s="86"/>
      <c r="AL62" s="86"/>
      <c r="AM62" s="86"/>
      <c r="AN62" s="86"/>
      <c r="AO62" s="101"/>
    </row>
    <row r="63" spans="1:41" x14ac:dyDescent="0.25">
      <c r="A63" s="63">
        <v>61</v>
      </c>
      <c r="B63" s="63" t="s">
        <v>9</v>
      </c>
      <c r="C63" s="64" t="s">
        <v>80</v>
      </c>
      <c r="D63" s="76">
        <v>1613105012</v>
      </c>
      <c r="E63" s="108" t="s">
        <v>82</v>
      </c>
      <c r="F63" s="101"/>
      <c r="G63" s="104" t="s">
        <v>3</v>
      </c>
      <c r="H63" s="103">
        <v>46108</v>
      </c>
      <c r="I63" s="69">
        <v>46111</v>
      </c>
      <c r="J63" s="95" t="s">
        <v>195</v>
      </c>
      <c r="K63" s="98">
        <v>300000</v>
      </c>
      <c r="L63" s="97"/>
      <c r="M63" s="84"/>
      <c r="N63" s="84"/>
      <c r="O63" s="66"/>
      <c r="P63" s="66"/>
      <c r="Q63" s="66"/>
      <c r="R63" s="72"/>
      <c r="S63" s="66"/>
      <c r="T63" s="72"/>
      <c r="U63" s="84"/>
      <c r="V63" s="73" t="str">
        <f t="shared" si="4"/>
        <v/>
      </c>
      <c r="W63" s="84"/>
      <c r="X63" s="86"/>
      <c r="Y63" s="86"/>
      <c r="Z63" s="102"/>
      <c r="AA63" s="86"/>
      <c r="AB63" s="102"/>
      <c r="AC63" s="86"/>
      <c r="AD63" s="86"/>
      <c r="AE63" s="86"/>
      <c r="AF63" s="86"/>
      <c r="AG63" s="86"/>
      <c r="AH63" s="102"/>
      <c r="AI63" s="86"/>
      <c r="AJ63" s="102"/>
      <c r="AK63" s="86"/>
      <c r="AL63" s="86"/>
      <c r="AM63" s="86"/>
      <c r="AN63" s="86"/>
      <c r="AO63" s="101"/>
    </row>
    <row r="64" spans="1:41" ht="26.4" x14ac:dyDescent="0.25">
      <c r="A64" s="63">
        <v>62</v>
      </c>
      <c r="B64" s="63" t="s">
        <v>9</v>
      </c>
      <c r="C64" s="64" t="s">
        <v>80</v>
      </c>
      <c r="D64" s="76">
        <v>1610311019</v>
      </c>
      <c r="E64" s="108" t="s">
        <v>196</v>
      </c>
      <c r="F64" s="101"/>
      <c r="G64" s="104" t="s">
        <v>3</v>
      </c>
      <c r="H64" s="103">
        <v>46108</v>
      </c>
      <c r="I64" s="69">
        <v>46111</v>
      </c>
      <c r="J64" s="95" t="s">
        <v>197</v>
      </c>
      <c r="K64" s="98">
        <v>100000</v>
      </c>
      <c r="L64" s="97"/>
      <c r="M64" s="84"/>
      <c r="N64" s="84"/>
      <c r="O64" s="66"/>
      <c r="P64" s="66"/>
      <c r="Q64" s="66"/>
      <c r="R64" s="72"/>
      <c r="S64" s="66"/>
      <c r="T64" s="72"/>
      <c r="U64" s="84"/>
      <c r="V64" s="73" t="str">
        <f t="shared" si="4"/>
        <v/>
      </c>
      <c r="W64" s="84"/>
      <c r="X64" s="86"/>
      <c r="Y64" s="86"/>
      <c r="Z64" s="102"/>
      <c r="AA64" s="86"/>
      <c r="AB64" s="102"/>
      <c r="AC64" s="86"/>
      <c r="AD64" s="86"/>
      <c r="AE64" s="86"/>
      <c r="AF64" s="86"/>
      <c r="AG64" s="86"/>
      <c r="AH64" s="102"/>
      <c r="AI64" s="86"/>
      <c r="AJ64" s="102"/>
      <c r="AK64" s="86"/>
      <c r="AL64" s="86"/>
      <c r="AM64" s="86"/>
      <c r="AN64" s="86"/>
      <c r="AO64" s="101"/>
    </row>
    <row r="65" spans="1:41" x14ac:dyDescent="0.25">
      <c r="A65" s="63">
        <v>63</v>
      </c>
      <c r="B65" s="63" t="s">
        <v>9</v>
      </c>
      <c r="C65" s="64" t="s">
        <v>80</v>
      </c>
      <c r="D65" s="76" t="s">
        <v>198</v>
      </c>
      <c r="E65" s="108" t="s">
        <v>190</v>
      </c>
      <c r="F65" s="101"/>
      <c r="G65" s="104" t="s">
        <v>3</v>
      </c>
      <c r="H65" s="103">
        <v>46108</v>
      </c>
      <c r="I65" s="69">
        <v>46111</v>
      </c>
      <c r="J65" s="95"/>
      <c r="K65" s="98">
        <v>100000</v>
      </c>
      <c r="L65" s="97"/>
      <c r="M65" s="84"/>
      <c r="N65" s="84"/>
      <c r="O65" s="66"/>
      <c r="P65" s="66"/>
      <c r="Q65" s="66"/>
      <c r="R65" s="72"/>
      <c r="S65" s="66"/>
      <c r="T65" s="72"/>
      <c r="U65" s="84"/>
      <c r="V65" s="73" t="str">
        <f t="shared" si="4"/>
        <v/>
      </c>
      <c r="W65" s="84"/>
      <c r="X65" s="86"/>
      <c r="Y65" s="86"/>
      <c r="Z65" s="102"/>
      <c r="AA65" s="86"/>
      <c r="AB65" s="102"/>
      <c r="AC65" s="86"/>
      <c r="AD65" s="86"/>
      <c r="AE65" s="86"/>
      <c r="AF65" s="86"/>
      <c r="AG65" s="86"/>
      <c r="AH65" s="102"/>
      <c r="AI65" s="86"/>
      <c r="AJ65" s="102"/>
      <c r="AK65" s="86"/>
      <c r="AL65" s="86"/>
      <c r="AM65" s="86"/>
      <c r="AN65" s="86"/>
      <c r="AO65" s="101"/>
    </row>
    <row r="66" spans="1:41" x14ac:dyDescent="0.25">
      <c r="A66" s="63">
        <v>64</v>
      </c>
      <c r="B66" s="63" t="s">
        <v>9</v>
      </c>
      <c r="C66" s="64" t="s">
        <v>80</v>
      </c>
      <c r="D66" s="76" t="s">
        <v>199</v>
      </c>
      <c r="E66" s="108" t="s">
        <v>186</v>
      </c>
      <c r="F66" s="101"/>
      <c r="G66" s="104" t="s">
        <v>3</v>
      </c>
      <c r="H66" s="103">
        <v>46108</v>
      </c>
      <c r="I66" s="69">
        <v>46111</v>
      </c>
      <c r="J66" s="95"/>
      <c r="K66" s="98">
        <v>50000</v>
      </c>
      <c r="L66" s="97"/>
      <c r="M66" s="84"/>
      <c r="N66" s="84"/>
      <c r="O66" s="66"/>
      <c r="P66" s="66"/>
      <c r="Q66" s="66"/>
      <c r="R66" s="72"/>
      <c r="S66" s="66"/>
      <c r="T66" s="72"/>
      <c r="U66" s="84"/>
      <c r="V66" s="73" t="str">
        <f t="shared" si="4"/>
        <v/>
      </c>
      <c r="W66" s="84"/>
      <c r="X66" s="86"/>
      <c r="Y66" s="86"/>
      <c r="Z66" s="102"/>
      <c r="AA66" s="86"/>
      <c r="AB66" s="102"/>
      <c r="AC66" s="86"/>
      <c r="AD66" s="86"/>
      <c r="AE66" s="86"/>
      <c r="AF66" s="86"/>
      <c r="AG66" s="86"/>
      <c r="AH66" s="102"/>
      <c r="AI66" s="86"/>
      <c r="AJ66" s="102"/>
      <c r="AK66" s="86"/>
      <c r="AL66" s="86"/>
      <c r="AM66" s="86"/>
      <c r="AN66" s="86"/>
      <c r="AO66" s="101"/>
    </row>
    <row r="67" spans="1:41" ht="26.4" x14ac:dyDescent="0.25">
      <c r="A67" s="63">
        <v>65</v>
      </c>
      <c r="B67" s="63" t="s">
        <v>11</v>
      </c>
      <c r="C67" s="64" t="s">
        <v>11</v>
      </c>
      <c r="D67" s="76" t="s">
        <v>200</v>
      </c>
      <c r="E67" s="108" t="s">
        <v>201</v>
      </c>
      <c r="F67" s="101" t="s">
        <v>202</v>
      </c>
      <c r="G67" s="99" t="s">
        <v>5</v>
      </c>
      <c r="H67" s="103" t="s">
        <v>46</v>
      </c>
      <c r="I67" s="69" t="s">
        <v>46</v>
      </c>
      <c r="J67" s="95"/>
      <c r="K67" s="98"/>
      <c r="L67" s="97">
        <v>46104</v>
      </c>
      <c r="M67" s="84"/>
      <c r="N67" s="84"/>
      <c r="O67" s="66" t="s">
        <v>49</v>
      </c>
      <c r="P67" s="66" t="s">
        <v>172</v>
      </c>
      <c r="Q67" s="66" t="s">
        <v>203</v>
      </c>
      <c r="R67" s="72">
        <v>46150</v>
      </c>
      <c r="S67" s="66"/>
      <c r="T67" s="72"/>
      <c r="U67" s="84"/>
      <c r="V67" s="73" t="str">
        <f t="shared" si="4"/>
        <v/>
      </c>
      <c r="W67" s="84"/>
      <c r="X67" s="86"/>
      <c r="Y67" s="86"/>
      <c r="Z67" s="102"/>
      <c r="AA67" s="86"/>
      <c r="AB67" s="102"/>
      <c r="AC67" s="86"/>
      <c r="AD67" s="86"/>
      <c r="AE67" s="86"/>
      <c r="AF67" s="86"/>
      <c r="AG67" s="86"/>
      <c r="AH67" s="102"/>
      <c r="AI67" s="86"/>
      <c r="AJ67" s="102"/>
      <c r="AK67" s="86"/>
      <c r="AL67" s="86"/>
      <c r="AM67" s="86"/>
      <c r="AN67" s="86"/>
      <c r="AO67" s="101" t="s">
        <v>204</v>
      </c>
    </row>
    <row r="68" spans="1:41" x14ac:dyDescent="0.25">
      <c r="A68" s="63">
        <v>66</v>
      </c>
      <c r="B68" s="63" t="s">
        <v>10</v>
      </c>
      <c r="C68" s="64" t="s">
        <v>10</v>
      </c>
      <c r="D68" s="76">
        <v>2023012</v>
      </c>
      <c r="E68" s="108" t="s">
        <v>143</v>
      </c>
      <c r="F68" s="101" t="s">
        <v>205</v>
      </c>
      <c r="G68" s="99" t="s">
        <v>5</v>
      </c>
      <c r="H68" s="103" t="s">
        <v>46</v>
      </c>
      <c r="I68" s="69" t="s">
        <v>46</v>
      </c>
      <c r="J68" s="95"/>
      <c r="K68" s="98"/>
      <c r="L68" s="97">
        <v>46111</v>
      </c>
      <c r="M68" s="84"/>
      <c r="N68" s="84"/>
      <c r="O68" s="66" t="s">
        <v>58</v>
      </c>
      <c r="P68" s="66" t="s">
        <v>206</v>
      </c>
      <c r="Q68" s="66">
        <v>500</v>
      </c>
      <c r="R68" s="72">
        <v>46128</v>
      </c>
      <c r="S68" s="66"/>
      <c r="T68" s="72"/>
      <c r="U68" s="84"/>
      <c r="V68" s="73" t="str">
        <f t="shared" si="4"/>
        <v/>
      </c>
      <c r="W68" s="84"/>
      <c r="X68" s="86"/>
      <c r="Y68" s="86"/>
      <c r="Z68" s="102"/>
      <c r="AA68" s="86"/>
      <c r="AB68" s="102"/>
      <c r="AC68" s="86"/>
      <c r="AD68" s="86"/>
      <c r="AE68" s="86"/>
      <c r="AF68" s="86"/>
      <c r="AG68" s="86"/>
      <c r="AH68" s="102"/>
      <c r="AI68" s="86"/>
      <c r="AJ68" s="102"/>
      <c r="AK68" s="86"/>
      <c r="AL68" s="86"/>
      <c r="AM68" s="86"/>
      <c r="AN68" s="86"/>
      <c r="AO68" s="101" t="s">
        <v>207</v>
      </c>
    </row>
    <row r="69" spans="1:41" x14ac:dyDescent="0.25">
      <c r="A69" s="63">
        <v>67</v>
      </c>
      <c r="B69" s="63" t="s">
        <v>11</v>
      </c>
      <c r="C69" s="64" t="s">
        <v>11</v>
      </c>
      <c r="D69" s="76">
        <v>2002560</v>
      </c>
      <c r="E69" s="108" t="s">
        <v>46</v>
      </c>
      <c r="F69" s="101"/>
      <c r="G69" s="104" t="s">
        <v>3</v>
      </c>
      <c r="H69" s="103">
        <v>46112</v>
      </c>
      <c r="I69" s="69">
        <v>46112</v>
      </c>
      <c r="J69" s="95"/>
      <c r="K69" s="98">
        <v>260565</v>
      </c>
      <c r="L69" s="97"/>
      <c r="M69" s="84"/>
      <c r="N69" s="84"/>
      <c r="O69" s="66"/>
      <c r="P69" s="66"/>
      <c r="Q69" s="66"/>
      <c r="R69" s="72"/>
      <c r="S69" s="66"/>
      <c r="T69" s="72"/>
      <c r="U69" s="84"/>
      <c r="V69" s="73" t="str">
        <f t="shared" si="4"/>
        <v/>
      </c>
      <c r="W69" s="84"/>
      <c r="X69" s="86"/>
      <c r="Y69" s="86"/>
      <c r="Z69" s="102"/>
      <c r="AA69" s="86"/>
      <c r="AB69" s="102"/>
      <c r="AC69" s="86"/>
      <c r="AD69" s="86"/>
      <c r="AE69" s="86"/>
      <c r="AF69" s="86"/>
      <c r="AG69" s="86"/>
      <c r="AH69" s="102"/>
      <c r="AI69" s="86"/>
      <c r="AJ69" s="102"/>
      <c r="AK69" s="86"/>
      <c r="AL69" s="86"/>
      <c r="AM69" s="86"/>
      <c r="AN69" s="86"/>
      <c r="AO69" s="101"/>
    </row>
    <row r="70" spans="1:41" x14ac:dyDescent="0.25">
      <c r="A70" s="63">
        <v>68</v>
      </c>
      <c r="B70" s="63" t="s">
        <v>8</v>
      </c>
      <c r="C70" s="64" t="s">
        <v>8</v>
      </c>
      <c r="D70" s="76" t="s">
        <v>208</v>
      </c>
      <c r="E70" s="66">
        <v>0.5</v>
      </c>
      <c r="F70" s="101"/>
      <c r="G70" s="104" t="s">
        <v>3</v>
      </c>
      <c r="H70" s="103">
        <v>46112</v>
      </c>
      <c r="I70" s="69">
        <v>46113</v>
      </c>
      <c r="J70" s="95"/>
      <c r="K70" s="98">
        <v>300000</v>
      </c>
      <c r="L70" s="97"/>
      <c r="M70" s="84"/>
      <c r="N70" s="84"/>
      <c r="O70" s="66"/>
      <c r="P70" s="66"/>
      <c r="Q70" s="66"/>
      <c r="R70" s="72"/>
      <c r="S70" s="66"/>
      <c r="T70" s="72"/>
      <c r="U70" s="84"/>
      <c r="V70" s="73" t="str">
        <f t="shared" si="4"/>
        <v/>
      </c>
      <c r="W70" s="84"/>
      <c r="X70" s="86"/>
      <c r="Y70" s="86"/>
      <c r="Z70" s="102"/>
      <c r="AA70" s="86"/>
      <c r="AB70" s="102"/>
      <c r="AC70" s="86"/>
      <c r="AD70" s="86"/>
      <c r="AE70" s="86"/>
      <c r="AF70" s="86"/>
      <c r="AG70" s="86"/>
      <c r="AH70" s="102"/>
      <c r="AI70" s="86"/>
      <c r="AJ70" s="102"/>
      <c r="AK70" s="86"/>
      <c r="AL70" s="86"/>
      <c r="AM70" s="86"/>
      <c r="AN70" s="86"/>
      <c r="AO70" s="101"/>
    </row>
    <row r="71" spans="1:41" ht="26.4" x14ac:dyDescent="0.25">
      <c r="A71" s="63">
        <v>69</v>
      </c>
      <c r="B71" s="63" t="s">
        <v>8</v>
      </c>
      <c r="C71" s="64" t="s">
        <v>8</v>
      </c>
      <c r="D71" s="76" t="s">
        <v>209</v>
      </c>
      <c r="E71" s="66">
        <v>0.18</v>
      </c>
      <c r="F71" s="101" t="s">
        <v>210</v>
      </c>
      <c r="G71" s="99" t="s">
        <v>5</v>
      </c>
      <c r="H71" s="103" t="s">
        <v>46</v>
      </c>
      <c r="I71" s="69" t="s">
        <v>46</v>
      </c>
      <c r="J71" s="95"/>
      <c r="K71" s="98">
        <v>500000</v>
      </c>
      <c r="L71" s="97">
        <v>46115</v>
      </c>
      <c r="M71" s="84"/>
      <c r="N71" s="84"/>
      <c r="O71" s="66" t="s">
        <v>58</v>
      </c>
      <c r="P71" s="66" t="s">
        <v>211</v>
      </c>
      <c r="Q71" s="66">
        <v>400</v>
      </c>
      <c r="R71" s="72">
        <v>46140</v>
      </c>
      <c r="S71" s="66">
        <v>500</v>
      </c>
      <c r="T71" s="72"/>
      <c r="U71" s="84"/>
      <c r="V71" s="73" t="str">
        <f t="shared" si="4"/>
        <v/>
      </c>
      <c r="W71" s="84"/>
      <c r="X71" s="86"/>
      <c r="Y71" s="86"/>
      <c r="Z71" s="102"/>
      <c r="AA71" s="86"/>
      <c r="AB71" s="102"/>
      <c r="AC71" s="86"/>
      <c r="AD71" s="86"/>
      <c r="AE71" s="86"/>
      <c r="AF71" s="86"/>
      <c r="AG71" s="86"/>
      <c r="AH71" s="102"/>
      <c r="AI71" s="86"/>
      <c r="AJ71" s="102"/>
      <c r="AK71" s="86"/>
      <c r="AL71" s="86"/>
      <c r="AM71" s="86"/>
      <c r="AN71" s="86"/>
      <c r="AO71" s="101" t="s">
        <v>212</v>
      </c>
    </row>
    <row r="72" spans="1:41" ht="26.4" x14ac:dyDescent="0.25">
      <c r="A72" s="63">
        <v>70</v>
      </c>
      <c r="B72" s="63" t="s">
        <v>9</v>
      </c>
      <c r="C72" s="64" t="s">
        <v>66</v>
      </c>
      <c r="D72" s="76" t="s">
        <v>213</v>
      </c>
      <c r="E72" s="108" t="s">
        <v>82</v>
      </c>
      <c r="F72" s="101" t="s">
        <v>214</v>
      </c>
      <c r="G72" s="99" t="s">
        <v>5</v>
      </c>
      <c r="H72" s="103" t="s">
        <v>46</v>
      </c>
      <c r="I72" s="69" t="s">
        <v>46</v>
      </c>
      <c r="J72" s="95"/>
      <c r="K72" s="98"/>
      <c r="L72" s="97"/>
      <c r="M72" s="84"/>
      <c r="N72" s="84"/>
      <c r="O72" s="66" t="s">
        <v>49</v>
      </c>
      <c r="P72" s="66" t="s">
        <v>211</v>
      </c>
      <c r="Q72" s="66">
        <v>200</v>
      </c>
      <c r="R72" s="72">
        <v>46162</v>
      </c>
      <c r="S72" s="66"/>
      <c r="T72" s="72"/>
      <c r="U72" s="84"/>
      <c r="V72" s="73" t="str">
        <f t="shared" si="4"/>
        <v/>
      </c>
      <c r="W72" s="84"/>
      <c r="X72" s="86"/>
      <c r="Y72" s="86"/>
      <c r="Z72" s="102"/>
      <c r="AA72" s="86"/>
      <c r="AB72" s="102"/>
      <c r="AC72" s="86"/>
      <c r="AD72" s="86"/>
      <c r="AE72" s="86"/>
      <c r="AF72" s="86"/>
      <c r="AG72" s="86"/>
      <c r="AH72" s="102"/>
      <c r="AI72" s="86"/>
      <c r="AJ72" s="102"/>
      <c r="AK72" s="86"/>
      <c r="AL72" s="86"/>
      <c r="AM72" s="86"/>
      <c r="AN72" s="86"/>
      <c r="AO72" s="101" t="s">
        <v>215</v>
      </c>
    </row>
    <row r="73" spans="1:41" x14ac:dyDescent="0.25">
      <c r="A73" s="63">
        <v>71</v>
      </c>
      <c r="B73" s="63" t="s">
        <v>8</v>
      </c>
      <c r="C73" s="64" t="s">
        <v>8</v>
      </c>
      <c r="D73" s="76" t="s">
        <v>216</v>
      </c>
      <c r="E73" s="108" t="s">
        <v>186</v>
      </c>
      <c r="F73" s="101"/>
      <c r="G73" s="104" t="s">
        <v>3</v>
      </c>
      <c r="H73" s="103">
        <v>46115</v>
      </c>
      <c r="I73" s="69"/>
      <c r="J73" s="95"/>
      <c r="K73" s="98"/>
      <c r="L73" s="97"/>
      <c r="M73" s="84"/>
      <c r="N73" s="84"/>
      <c r="O73" s="66"/>
      <c r="P73" s="66"/>
      <c r="Q73" s="66"/>
      <c r="R73" s="72"/>
      <c r="S73" s="66"/>
      <c r="T73" s="72"/>
      <c r="U73" s="84"/>
      <c r="V73" s="73" t="str">
        <f t="shared" si="4"/>
        <v/>
      </c>
      <c r="W73" s="84"/>
      <c r="X73" s="86"/>
      <c r="Y73" s="86"/>
      <c r="Z73" s="102"/>
      <c r="AA73" s="86"/>
      <c r="AB73" s="102"/>
      <c r="AC73" s="86"/>
      <c r="AD73" s="86"/>
      <c r="AE73" s="86"/>
      <c r="AF73" s="86"/>
      <c r="AG73" s="86"/>
      <c r="AH73" s="102"/>
      <c r="AI73" s="86"/>
      <c r="AJ73" s="102"/>
      <c r="AK73" s="86"/>
      <c r="AL73" s="86"/>
      <c r="AM73" s="86"/>
      <c r="AN73" s="86"/>
      <c r="AO73" s="101"/>
    </row>
    <row r="74" spans="1:41" x14ac:dyDescent="0.25">
      <c r="A74" s="63">
        <v>72</v>
      </c>
      <c r="B74" s="63" t="s">
        <v>9</v>
      </c>
      <c r="C74" s="64" t="s">
        <v>66</v>
      </c>
      <c r="D74" s="76">
        <v>2609110216</v>
      </c>
      <c r="E74" s="108" t="s">
        <v>82</v>
      </c>
      <c r="F74" s="101"/>
      <c r="G74" s="104" t="s">
        <v>3</v>
      </c>
      <c r="H74" s="103">
        <v>46115</v>
      </c>
      <c r="I74" s="69">
        <v>46119</v>
      </c>
      <c r="J74" s="95" t="s">
        <v>217</v>
      </c>
      <c r="K74" s="98">
        <v>70000</v>
      </c>
      <c r="L74" s="97"/>
      <c r="M74" s="84"/>
      <c r="N74" s="84"/>
      <c r="O74" s="66"/>
      <c r="P74" s="66"/>
      <c r="Q74" s="66"/>
      <c r="R74" s="72"/>
      <c r="S74" s="66"/>
      <c r="T74" s="72"/>
      <c r="U74" s="84"/>
      <c r="V74" s="73" t="str">
        <f t="shared" si="4"/>
        <v/>
      </c>
      <c r="W74" s="84"/>
      <c r="X74" s="86"/>
      <c r="Y74" s="86"/>
      <c r="Z74" s="102"/>
      <c r="AA74" s="86"/>
      <c r="AB74" s="102"/>
      <c r="AC74" s="86"/>
      <c r="AD74" s="86"/>
      <c r="AE74" s="86"/>
      <c r="AF74" s="86"/>
      <c r="AG74" s="86"/>
      <c r="AH74" s="102"/>
      <c r="AI74" s="86"/>
      <c r="AJ74" s="102"/>
      <c r="AK74" s="86"/>
      <c r="AL74" s="86"/>
      <c r="AM74" s="86"/>
      <c r="AN74" s="86"/>
      <c r="AO74" s="101"/>
    </row>
    <row r="75" spans="1:41" x14ac:dyDescent="0.25">
      <c r="A75" s="63">
        <v>73</v>
      </c>
      <c r="B75" s="63" t="s">
        <v>9</v>
      </c>
      <c r="C75" s="64" t="s">
        <v>9</v>
      </c>
      <c r="D75" s="76" t="s">
        <v>218</v>
      </c>
      <c r="E75" s="108" t="s">
        <v>82</v>
      </c>
      <c r="F75" s="101"/>
      <c r="G75" s="104" t="s">
        <v>3</v>
      </c>
      <c r="H75" s="103">
        <v>46119</v>
      </c>
      <c r="I75" s="69"/>
      <c r="J75" s="95"/>
      <c r="K75" s="98">
        <v>60000</v>
      </c>
      <c r="L75" s="97"/>
      <c r="M75" s="84"/>
      <c r="N75" s="84"/>
      <c r="O75" s="66"/>
      <c r="P75" s="66"/>
      <c r="Q75" s="66"/>
      <c r="R75" s="72"/>
      <c r="S75" s="66"/>
      <c r="T75" s="72"/>
      <c r="U75" s="84"/>
      <c r="V75" s="73" t="str">
        <f t="shared" si="4"/>
        <v/>
      </c>
      <c r="W75" s="84"/>
      <c r="X75" s="86"/>
      <c r="Y75" s="86"/>
      <c r="Z75" s="102"/>
      <c r="AA75" s="86"/>
      <c r="AB75" s="102"/>
      <c r="AC75" s="86"/>
      <c r="AD75" s="86"/>
      <c r="AE75" s="86"/>
      <c r="AF75" s="86"/>
      <c r="AG75" s="86"/>
      <c r="AH75" s="102"/>
      <c r="AI75" s="86"/>
      <c r="AJ75" s="102"/>
      <c r="AK75" s="86"/>
      <c r="AL75" s="86"/>
      <c r="AM75" s="86"/>
      <c r="AN75" s="86"/>
      <c r="AO75" s="101"/>
    </row>
    <row r="76" spans="1:41" x14ac:dyDescent="0.25">
      <c r="A76" s="63">
        <v>74</v>
      </c>
      <c r="B76" s="63" t="s">
        <v>9</v>
      </c>
      <c r="C76" s="64" t="s">
        <v>9</v>
      </c>
      <c r="D76" s="76" t="s">
        <v>219</v>
      </c>
      <c r="E76" s="108" t="s">
        <v>82</v>
      </c>
      <c r="F76" s="101"/>
      <c r="G76" s="104" t="s">
        <v>3</v>
      </c>
      <c r="H76" s="103">
        <v>46119</v>
      </c>
      <c r="I76" s="69"/>
      <c r="J76" s="95"/>
      <c r="K76" s="98">
        <v>60000</v>
      </c>
      <c r="L76" s="97"/>
      <c r="M76" s="84"/>
      <c r="N76" s="84"/>
      <c r="O76" s="66"/>
      <c r="P76" s="66"/>
      <c r="Q76" s="66"/>
      <c r="R76" s="72"/>
      <c r="S76" s="66"/>
      <c r="T76" s="72"/>
      <c r="U76" s="84"/>
      <c r="V76" s="73" t="str">
        <f t="shared" si="4"/>
        <v/>
      </c>
      <c r="W76" s="84"/>
      <c r="X76" s="86"/>
      <c r="Y76" s="86"/>
      <c r="Z76" s="102"/>
      <c r="AA76" s="86"/>
      <c r="AB76" s="102"/>
      <c r="AC76" s="86"/>
      <c r="AD76" s="86"/>
      <c r="AE76" s="86"/>
      <c r="AF76" s="86"/>
      <c r="AG76" s="86"/>
      <c r="AH76" s="102"/>
      <c r="AI76" s="86"/>
      <c r="AJ76" s="102"/>
      <c r="AK76" s="86"/>
      <c r="AL76" s="86"/>
      <c r="AM76" s="86"/>
      <c r="AN76" s="86"/>
      <c r="AO76" s="101"/>
    </row>
    <row r="77" spans="1:41" x14ac:dyDescent="0.25">
      <c r="A77" s="63">
        <v>75</v>
      </c>
      <c r="B77" s="63" t="s">
        <v>9</v>
      </c>
      <c r="C77" s="64" t="s">
        <v>9</v>
      </c>
      <c r="D77" s="76" t="s">
        <v>220</v>
      </c>
      <c r="E77" s="108" t="s">
        <v>82</v>
      </c>
      <c r="F77" s="101"/>
      <c r="G77" s="104" t="s">
        <v>3</v>
      </c>
      <c r="H77" s="103">
        <v>46119</v>
      </c>
      <c r="I77" s="69"/>
      <c r="J77" s="95"/>
      <c r="K77" s="98">
        <v>60000</v>
      </c>
      <c r="L77" s="97"/>
      <c r="M77" s="84"/>
      <c r="N77" s="84"/>
      <c r="O77" s="66"/>
      <c r="P77" s="66"/>
      <c r="Q77" s="66"/>
      <c r="R77" s="72"/>
      <c r="S77" s="66"/>
      <c r="T77" s="72"/>
      <c r="U77" s="84"/>
      <c r="V77" s="73" t="str">
        <f t="shared" si="4"/>
        <v/>
      </c>
      <c r="W77" s="84"/>
      <c r="X77" s="86"/>
      <c r="Y77" s="86"/>
      <c r="Z77" s="102"/>
      <c r="AA77" s="86"/>
      <c r="AB77" s="102"/>
      <c r="AC77" s="86"/>
      <c r="AD77" s="86"/>
      <c r="AE77" s="86"/>
      <c r="AF77" s="86"/>
      <c r="AG77" s="86"/>
      <c r="AH77" s="102"/>
      <c r="AI77" s="86"/>
      <c r="AJ77" s="102"/>
      <c r="AK77" s="86"/>
      <c r="AL77" s="86"/>
      <c r="AM77" s="86"/>
      <c r="AN77" s="86"/>
      <c r="AO77" s="101"/>
    </row>
    <row r="78" spans="1:41" x14ac:dyDescent="0.25">
      <c r="A78" s="63">
        <v>76</v>
      </c>
      <c r="B78" s="63" t="s">
        <v>9</v>
      </c>
      <c r="C78" s="64" t="s">
        <v>9</v>
      </c>
      <c r="D78" s="76" t="s">
        <v>221</v>
      </c>
      <c r="E78" s="108" t="s">
        <v>82</v>
      </c>
      <c r="F78" s="101"/>
      <c r="G78" s="104" t="s">
        <v>3</v>
      </c>
      <c r="H78" s="103">
        <v>46119</v>
      </c>
      <c r="I78" s="69"/>
      <c r="J78" s="95"/>
      <c r="K78" s="98">
        <v>60000</v>
      </c>
      <c r="L78" s="97"/>
      <c r="M78" s="84"/>
      <c r="N78" s="84"/>
      <c r="O78" s="66"/>
      <c r="P78" s="66"/>
      <c r="Q78" s="66"/>
      <c r="R78" s="72"/>
      <c r="S78" s="66"/>
      <c r="T78" s="72"/>
      <c r="U78" s="84"/>
      <c r="V78" s="73" t="str">
        <f t="shared" si="4"/>
        <v/>
      </c>
      <c r="W78" s="84"/>
      <c r="X78" s="86"/>
      <c r="Y78" s="86"/>
      <c r="Z78" s="102"/>
      <c r="AA78" s="86"/>
      <c r="AB78" s="102"/>
      <c r="AC78" s="86"/>
      <c r="AD78" s="86"/>
      <c r="AE78" s="86"/>
      <c r="AF78" s="86"/>
      <c r="AG78" s="86"/>
      <c r="AH78" s="102"/>
      <c r="AI78" s="86"/>
      <c r="AJ78" s="102"/>
      <c r="AK78" s="86"/>
      <c r="AL78" s="86"/>
      <c r="AM78" s="86"/>
      <c r="AN78" s="86"/>
      <c r="AO78" s="101"/>
    </row>
    <row r="79" spans="1:41" x14ac:dyDescent="0.25">
      <c r="A79" s="63">
        <v>77</v>
      </c>
      <c r="B79" s="63" t="s">
        <v>9</v>
      </c>
      <c r="C79" s="64" t="s">
        <v>9</v>
      </c>
      <c r="D79" s="76" t="s">
        <v>222</v>
      </c>
      <c r="E79" s="108" t="s">
        <v>82</v>
      </c>
      <c r="F79" s="101"/>
      <c r="G79" s="104" t="s">
        <v>3</v>
      </c>
      <c r="H79" s="103">
        <v>46119</v>
      </c>
      <c r="I79" s="69"/>
      <c r="J79" s="95"/>
      <c r="K79" s="98">
        <v>60000</v>
      </c>
      <c r="L79" s="97"/>
      <c r="M79" s="84"/>
      <c r="N79" s="84"/>
      <c r="O79" s="66"/>
      <c r="P79" s="66"/>
      <c r="Q79" s="66"/>
      <c r="R79" s="72"/>
      <c r="S79" s="66"/>
      <c r="T79" s="72"/>
      <c r="U79" s="84"/>
      <c r="V79" s="73" t="str">
        <f t="shared" si="4"/>
        <v/>
      </c>
      <c r="W79" s="84"/>
      <c r="X79" s="86"/>
      <c r="Y79" s="86"/>
      <c r="Z79" s="102"/>
      <c r="AA79" s="86"/>
      <c r="AB79" s="102"/>
      <c r="AC79" s="86"/>
      <c r="AD79" s="86"/>
      <c r="AE79" s="86"/>
      <c r="AF79" s="86"/>
      <c r="AG79" s="86"/>
      <c r="AH79" s="102"/>
      <c r="AI79" s="86"/>
      <c r="AJ79" s="102"/>
      <c r="AK79" s="86"/>
      <c r="AL79" s="86"/>
      <c r="AM79" s="86"/>
      <c r="AN79" s="86"/>
      <c r="AO79" s="101"/>
    </row>
    <row r="80" spans="1:41" x14ac:dyDescent="0.25">
      <c r="G80" s="52"/>
      <c r="H80" s="105"/>
      <c r="I80" s="105"/>
      <c r="J80" s="58"/>
      <c r="V80" s="106" t="str">
        <f t="shared" si="4"/>
        <v/>
      </c>
    </row>
    <row r="81" spans="7:22" x14ac:dyDescent="0.25">
      <c r="G81" s="52"/>
      <c r="H81" s="105"/>
      <c r="I81" s="105"/>
      <c r="J81" s="58"/>
      <c r="V81" s="106" t="str">
        <f t="shared" si="4"/>
        <v/>
      </c>
    </row>
    <row r="82" spans="7:22" x14ac:dyDescent="0.25">
      <c r="G82" s="52"/>
      <c r="H82" s="105"/>
      <c r="I82" s="105"/>
      <c r="J82" s="58"/>
      <c r="V82" s="106" t="str">
        <f t="shared" si="4"/>
        <v/>
      </c>
    </row>
    <row r="83" spans="7:22" x14ac:dyDescent="0.25">
      <c r="G83" s="52"/>
      <c r="H83" s="105"/>
      <c r="I83" s="105"/>
      <c r="J83" s="58"/>
      <c r="V83" s="106" t="str">
        <f t="shared" si="4"/>
        <v/>
      </c>
    </row>
    <row r="84" spans="7:22" x14ac:dyDescent="0.25">
      <c r="G84" s="52"/>
      <c r="H84" s="105"/>
      <c r="I84" s="105"/>
      <c r="J84" s="58"/>
      <c r="V84" s="106" t="str">
        <f t="shared" si="4"/>
        <v/>
      </c>
    </row>
    <row r="85" spans="7:22" x14ac:dyDescent="0.25">
      <c r="G85" s="52"/>
      <c r="H85" s="105"/>
      <c r="I85" s="105"/>
      <c r="J85" s="58"/>
      <c r="V85" s="106" t="str">
        <f t="shared" si="4"/>
        <v/>
      </c>
    </row>
    <row r="86" spans="7:22" x14ac:dyDescent="0.25">
      <c r="G86" s="52"/>
      <c r="H86" s="105"/>
      <c r="I86" s="105"/>
      <c r="J86" s="58"/>
      <c r="V86" s="106" t="str">
        <f t="shared" si="4"/>
        <v/>
      </c>
    </row>
    <row r="87" spans="7:22" x14ac:dyDescent="0.25">
      <c r="G87" s="52"/>
      <c r="H87" s="105"/>
      <c r="I87" s="105"/>
      <c r="J87" s="58"/>
      <c r="V87" s="106" t="str">
        <f t="shared" si="4"/>
        <v/>
      </c>
    </row>
    <row r="88" spans="7:22" x14ac:dyDescent="0.25">
      <c r="G88" s="52"/>
      <c r="H88" s="105"/>
      <c r="I88" s="105"/>
      <c r="J88" s="58"/>
      <c r="V88" s="106" t="str">
        <f t="shared" si="4"/>
        <v/>
      </c>
    </row>
    <row r="89" spans="7:22" x14ac:dyDescent="0.25">
      <c r="G89" s="52"/>
      <c r="H89" s="105"/>
      <c r="I89" s="105"/>
      <c r="J89" s="58"/>
      <c r="V89" s="106" t="str">
        <f t="shared" si="4"/>
        <v/>
      </c>
    </row>
    <row r="90" spans="7:22" x14ac:dyDescent="0.25">
      <c r="G90" s="52"/>
      <c r="H90" s="105"/>
      <c r="I90" s="105"/>
      <c r="J90" s="58"/>
      <c r="V90" s="106" t="str">
        <f t="shared" si="4"/>
        <v/>
      </c>
    </row>
    <row r="91" spans="7:22" x14ac:dyDescent="0.25">
      <c r="G91" s="52"/>
      <c r="H91" s="105"/>
      <c r="I91" s="105"/>
      <c r="J91" s="58"/>
      <c r="V91" s="106" t="str">
        <f t="shared" si="4"/>
        <v/>
      </c>
    </row>
    <row r="92" spans="7:22" x14ac:dyDescent="0.25">
      <c r="G92" s="52"/>
      <c r="H92" s="105"/>
      <c r="I92" s="105"/>
      <c r="J92" s="58"/>
      <c r="V92" s="106" t="str">
        <f t="shared" si="4"/>
        <v/>
      </c>
    </row>
    <row r="93" spans="7:22" x14ac:dyDescent="0.25">
      <c r="G93" s="52"/>
      <c r="H93" s="105"/>
      <c r="I93" s="105"/>
      <c r="J93" s="58"/>
      <c r="V93" s="106" t="str">
        <f t="shared" si="4"/>
        <v/>
      </c>
    </row>
    <row r="94" spans="7:22" x14ac:dyDescent="0.25">
      <c r="G94" s="52"/>
      <c r="H94" s="105"/>
      <c r="I94" s="105"/>
      <c r="J94" s="58"/>
      <c r="V94" s="106" t="str">
        <f t="shared" ref="V94:V125" si="5">IFERROR(IF(T94="","",IF(R94&gt;T94,"提前"&amp;R94-T94&amp;"天交付",IF(R94&lt;T94,"延误"&amp;T94-R94&amp;"天交付","准时交付"))),"")</f>
        <v/>
      </c>
    </row>
    <row r="95" spans="7:22" x14ac:dyDescent="0.25">
      <c r="G95" s="52"/>
      <c r="H95" s="105"/>
      <c r="I95" s="105"/>
      <c r="J95" s="58"/>
      <c r="V95" s="106" t="str">
        <f t="shared" si="5"/>
        <v/>
      </c>
    </row>
    <row r="96" spans="7:22" x14ac:dyDescent="0.25">
      <c r="G96" s="52"/>
      <c r="H96" s="105"/>
      <c r="I96" s="105"/>
      <c r="J96" s="58"/>
      <c r="V96" s="106" t="str">
        <f t="shared" si="5"/>
        <v/>
      </c>
    </row>
    <row r="97" spans="7:22" x14ac:dyDescent="0.25">
      <c r="G97" s="52"/>
      <c r="H97" s="105"/>
      <c r="I97" s="105"/>
      <c r="J97" s="58"/>
      <c r="V97" s="106" t="str">
        <f t="shared" si="5"/>
        <v/>
      </c>
    </row>
    <row r="98" spans="7:22" x14ac:dyDescent="0.25">
      <c r="G98" s="52"/>
      <c r="H98" s="105"/>
      <c r="I98" s="105"/>
      <c r="J98" s="58"/>
      <c r="V98" s="106" t="str">
        <f t="shared" si="5"/>
        <v/>
      </c>
    </row>
    <row r="99" spans="7:22" x14ac:dyDescent="0.25">
      <c r="G99" s="52"/>
      <c r="H99" s="105"/>
      <c r="I99" s="105"/>
      <c r="J99" s="58"/>
      <c r="V99" s="106" t="str">
        <f t="shared" si="5"/>
        <v/>
      </c>
    </row>
    <row r="100" spans="7:22" x14ac:dyDescent="0.25">
      <c r="G100" s="52"/>
      <c r="H100" s="105"/>
      <c r="I100" s="105"/>
      <c r="J100" s="58"/>
      <c r="V100" s="106" t="str">
        <f t="shared" si="5"/>
        <v/>
      </c>
    </row>
    <row r="101" spans="7:22" x14ac:dyDescent="0.25">
      <c r="G101" s="52"/>
      <c r="H101" s="105"/>
      <c r="I101" s="105"/>
      <c r="J101" s="58"/>
      <c r="V101" s="106" t="str">
        <f t="shared" si="5"/>
        <v/>
      </c>
    </row>
    <row r="102" spans="7:22" x14ac:dyDescent="0.25">
      <c r="G102" s="52"/>
      <c r="H102" s="105"/>
      <c r="I102" s="105"/>
      <c r="J102" s="58"/>
      <c r="V102" s="106" t="str">
        <f t="shared" si="5"/>
        <v/>
      </c>
    </row>
    <row r="103" spans="7:22" x14ac:dyDescent="0.25">
      <c r="G103" s="52"/>
      <c r="H103" s="105"/>
      <c r="I103" s="105"/>
      <c r="J103" s="58"/>
      <c r="V103" s="106" t="str">
        <f t="shared" si="5"/>
        <v/>
      </c>
    </row>
    <row r="104" spans="7:22" x14ac:dyDescent="0.25">
      <c r="G104" s="52"/>
      <c r="H104" s="105"/>
      <c r="I104" s="105"/>
      <c r="J104" s="58"/>
      <c r="V104" s="106" t="str">
        <f t="shared" si="5"/>
        <v/>
      </c>
    </row>
    <row r="105" spans="7:22" x14ac:dyDescent="0.25">
      <c r="G105" s="52"/>
      <c r="H105" s="105"/>
      <c r="I105" s="105"/>
      <c r="J105" s="58"/>
      <c r="V105" s="106" t="str">
        <f t="shared" si="5"/>
        <v/>
      </c>
    </row>
    <row r="106" spans="7:22" x14ac:dyDescent="0.25">
      <c r="G106" s="52"/>
      <c r="H106" s="105"/>
      <c r="I106" s="105"/>
      <c r="J106" s="58"/>
      <c r="V106" s="106" t="str">
        <f t="shared" si="5"/>
        <v/>
      </c>
    </row>
    <row r="107" spans="7:22" x14ac:dyDescent="0.25">
      <c r="G107" s="52"/>
      <c r="H107" s="105"/>
      <c r="I107" s="105"/>
      <c r="J107" s="58"/>
      <c r="V107" s="106" t="str">
        <f t="shared" si="5"/>
        <v/>
      </c>
    </row>
    <row r="108" spans="7:22" x14ac:dyDescent="0.25">
      <c r="G108" s="52"/>
      <c r="H108" s="105"/>
      <c r="I108" s="105"/>
      <c r="J108" s="58"/>
      <c r="V108" s="106" t="str">
        <f t="shared" si="5"/>
        <v/>
      </c>
    </row>
    <row r="109" spans="7:22" x14ac:dyDescent="0.25">
      <c r="G109" s="52"/>
      <c r="H109" s="105"/>
      <c r="I109" s="105"/>
      <c r="J109" s="58"/>
      <c r="V109" s="106" t="str">
        <f t="shared" si="5"/>
        <v/>
      </c>
    </row>
    <row r="110" spans="7:22" x14ac:dyDescent="0.25">
      <c r="G110" s="52"/>
      <c r="H110" s="105"/>
      <c r="I110" s="105"/>
      <c r="J110" s="58"/>
      <c r="V110" s="106" t="str">
        <f t="shared" si="5"/>
        <v/>
      </c>
    </row>
    <row r="111" spans="7:22" x14ac:dyDescent="0.25">
      <c r="G111" s="52"/>
      <c r="H111" s="105"/>
      <c r="I111" s="105"/>
      <c r="J111" s="58"/>
      <c r="V111" s="106" t="str">
        <f t="shared" si="5"/>
        <v/>
      </c>
    </row>
    <row r="112" spans="7:22" x14ac:dyDescent="0.25">
      <c r="G112" s="52"/>
      <c r="H112" s="105"/>
      <c r="I112" s="105"/>
      <c r="J112" s="58"/>
      <c r="V112" s="106" t="str">
        <f t="shared" si="5"/>
        <v/>
      </c>
    </row>
    <row r="113" spans="7:22" x14ac:dyDescent="0.25">
      <c r="G113" s="52"/>
      <c r="H113" s="105"/>
      <c r="I113" s="105"/>
      <c r="J113" s="58"/>
      <c r="V113" s="106" t="str">
        <f t="shared" si="5"/>
        <v/>
      </c>
    </row>
    <row r="114" spans="7:22" x14ac:dyDescent="0.25">
      <c r="G114" s="52"/>
      <c r="H114" s="105"/>
      <c r="I114" s="105"/>
      <c r="J114" s="58"/>
      <c r="V114" s="106" t="str">
        <f t="shared" si="5"/>
        <v/>
      </c>
    </row>
    <row r="115" spans="7:22" x14ac:dyDescent="0.25">
      <c r="G115" s="52"/>
      <c r="H115" s="105"/>
      <c r="I115" s="105"/>
      <c r="J115" s="58"/>
      <c r="V115" s="106" t="str">
        <f t="shared" si="5"/>
        <v/>
      </c>
    </row>
    <row r="116" spans="7:22" x14ac:dyDescent="0.25">
      <c r="G116" s="52"/>
      <c r="H116" s="105"/>
      <c r="I116" s="105"/>
      <c r="J116" s="58"/>
      <c r="V116" s="106" t="str">
        <f t="shared" si="5"/>
        <v/>
      </c>
    </row>
    <row r="117" spans="7:22" x14ac:dyDescent="0.25">
      <c r="G117" s="52"/>
      <c r="H117" s="105"/>
      <c r="I117" s="105"/>
      <c r="J117" s="58"/>
      <c r="V117" s="106" t="str">
        <f t="shared" si="5"/>
        <v/>
      </c>
    </row>
    <row r="118" spans="7:22" x14ac:dyDescent="0.25">
      <c r="G118" s="52"/>
      <c r="H118" s="105"/>
      <c r="I118" s="105"/>
      <c r="J118" s="58"/>
      <c r="V118" s="106" t="str">
        <f t="shared" si="5"/>
        <v/>
      </c>
    </row>
    <row r="119" spans="7:22" x14ac:dyDescent="0.25">
      <c r="G119" s="52"/>
      <c r="H119" s="105"/>
      <c r="I119" s="105"/>
      <c r="J119" s="58"/>
      <c r="V119" s="106" t="str">
        <f t="shared" si="5"/>
        <v/>
      </c>
    </row>
    <row r="120" spans="7:22" x14ac:dyDescent="0.25">
      <c r="G120" s="52"/>
      <c r="H120" s="105"/>
      <c r="I120" s="105"/>
      <c r="J120" s="58"/>
      <c r="V120" s="106" t="str">
        <f t="shared" si="5"/>
        <v/>
      </c>
    </row>
    <row r="121" spans="7:22" x14ac:dyDescent="0.25">
      <c r="G121" s="52"/>
      <c r="H121" s="105"/>
      <c r="I121" s="105"/>
      <c r="J121" s="58"/>
      <c r="V121" s="106" t="str">
        <f t="shared" si="5"/>
        <v/>
      </c>
    </row>
    <row r="122" spans="7:22" x14ac:dyDescent="0.25">
      <c r="G122" s="52"/>
      <c r="H122" s="105"/>
      <c r="I122" s="105"/>
      <c r="J122" s="58"/>
      <c r="V122" s="106" t="str">
        <f t="shared" si="5"/>
        <v/>
      </c>
    </row>
    <row r="123" spans="7:22" x14ac:dyDescent="0.25">
      <c r="G123" s="52"/>
      <c r="H123" s="105"/>
      <c r="I123" s="105"/>
      <c r="J123" s="58"/>
      <c r="V123" s="106" t="str">
        <f t="shared" si="5"/>
        <v/>
      </c>
    </row>
    <row r="124" spans="7:22" x14ac:dyDescent="0.25">
      <c r="G124" s="52"/>
      <c r="H124" s="105"/>
      <c r="I124" s="105"/>
      <c r="J124" s="58"/>
      <c r="V124" s="106" t="str">
        <f t="shared" si="5"/>
        <v/>
      </c>
    </row>
    <row r="125" spans="7:22" x14ac:dyDescent="0.25">
      <c r="G125" s="52"/>
      <c r="H125" s="105"/>
      <c r="I125" s="105"/>
      <c r="J125" s="58"/>
      <c r="V125" s="106" t="str">
        <f t="shared" si="5"/>
        <v/>
      </c>
    </row>
  </sheetData>
  <autoFilter ref="A2:AO125" xr:uid="{00000000-0009-0000-0000-000001000000}"/>
  <mergeCells count="20">
    <mergeCell ref="N1:N2"/>
    <mergeCell ref="O1:O2"/>
    <mergeCell ref="P1:P2"/>
    <mergeCell ref="AO1:AO2"/>
    <mergeCell ref="Q1:X1"/>
    <mergeCell ref="Y1:AF1"/>
    <mergeCell ref="AG1:AN1"/>
    <mergeCell ref="A1:A2"/>
    <mergeCell ref="B1:B2"/>
    <mergeCell ref="C1:C2"/>
    <mergeCell ref="D1:D2"/>
    <mergeCell ref="E1:E2"/>
    <mergeCell ref="F1:F2"/>
    <mergeCell ref="G1:G2"/>
    <mergeCell ref="H1:H2"/>
    <mergeCell ref="I1:I2"/>
    <mergeCell ref="J1:J2"/>
    <mergeCell ref="K1:K2"/>
    <mergeCell ref="L1:L2"/>
    <mergeCell ref="M1:M2"/>
  </mergeCells>
  <phoneticPr fontId="46" type="noConversion"/>
  <conditionalFormatting sqref="O1:P1 E1 O3:P1048576 E3:E1048576">
    <cfRule type="cellIs" dxfId="14" priority="3" operator="equal">
      <formula>"R"</formula>
    </cfRule>
    <cfRule type="cellIs" dxfId="13" priority="2" operator="equal">
      <formula>"Y"</formula>
    </cfRule>
    <cfRule type="cellIs" dxfId="12" priority="1" operator="equal">
      <formula>"G"</formula>
    </cfRule>
  </conditionalFormatting>
  <pageMargins left="0.75" right="0.75" top="1" bottom="1" header="0.5" footer="0.5"/>
  <pageSetup paperSize="9" scale="35"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U48"/>
  <sheetViews>
    <sheetView showGridLines="0" showRuler="0" zoomScale="55" zoomScaleNormal="55" zoomScalePageLayoutView="70" workbookViewId="0">
      <pane xSplit="9" ySplit="7" topLeftCell="J8" activePane="bottomRight" state="frozen"/>
      <selection pane="topRight"/>
      <selection pane="bottomLeft"/>
      <selection pane="bottomRight" activeCell="V37" sqref="V37"/>
    </sheetView>
  </sheetViews>
  <sheetFormatPr defaultColWidth="10.33203125" defaultRowHeight="30" customHeight="1" x14ac:dyDescent="0.25"/>
  <cols>
    <col min="1" max="1" width="5.109375" style="1" customWidth="1"/>
    <col min="2" max="2" width="17.44140625" style="2" customWidth="1"/>
    <col min="3" max="3" width="13.88671875" style="2" customWidth="1"/>
    <col min="4" max="7" width="20.5546875" style="2" customWidth="1"/>
    <col min="8" max="8" width="17.88671875" style="2" customWidth="1"/>
    <col min="9" max="9" width="3" style="2" customWidth="1"/>
    <col min="10" max="26" width="4.33203125" style="2" customWidth="1"/>
    <col min="27" max="28" width="3.33203125" style="2" customWidth="1"/>
    <col min="29" max="57" width="4.33203125" style="2" customWidth="1"/>
    <col min="58" max="59" width="3.33203125" style="2" customWidth="1"/>
    <col min="60" max="65" width="4.33203125" style="2" customWidth="1"/>
    <col min="66" max="66" width="3.33203125" style="2" customWidth="1"/>
    <col min="67" max="72" width="4.33203125" style="2" customWidth="1"/>
    <col min="73" max="73" width="37.33203125" style="2" customWidth="1"/>
    <col min="74" max="75" width="10.33203125" style="2"/>
    <col min="76" max="76" width="11.88671875" style="2" customWidth="1"/>
    <col min="77" max="78" width="12.5546875" style="2" customWidth="1"/>
    <col min="79" max="79" width="11.88671875" style="2" customWidth="1"/>
    <col min="80" max="16384" width="10.33203125" style="2"/>
  </cols>
  <sheetData>
    <row r="1" spans="1:73" ht="18" customHeight="1" x14ac:dyDescent="0.25">
      <c r="A1" s="3" t="s">
        <v>223</v>
      </c>
      <c r="B1" s="4" t="s">
        <v>224</v>
      </c>
      <c r="C1" s="113" t="s">
        <v>225</v>
      </c>
      <c r="D1" s="113"/>
      <c r="E1" s="5" t="s">
        <v>226</v>
      </c>
      <c r="F1" s="113">
        <v>150</v>
      </c>
      <c r="G1" s="113"/>
      <c r="H1" s="6"/>
      <c r="J1" s="7"/>
    </row>
    <row r="2" spans="1:73" ht="18" customHeight="1" x14ac:dyDescent="0.25">
      <c r="A2" s="1" t="s">
        <v>227</v>
      </c>
      <c r="B2" s="4" t="s">
        <v>228</v>
      </c>
      <c r="C2" s="113" t="s">
        <v>229</v>
      </c>
      <c r="D2" s="113"/>
      <c r="E2" s="46" t="s">
        <v>230</v>
      </c>
      <c r="F2" s="114" t="s">
        <v>34</v>
      </c>
      <c r="G2" s="114"/>
      <c r="J2" s="8"/>
    </row>
    <row r="3" spans="1:73" ht="18" customHeight="1" x14ac:dyDescent="0.25">
      <c r="A3" s="1" t="s">
        <v>231</v>
      </c>
      <c r="B3" s="45" t="s">
        <v>232</v>
      </c>
      <c r="C3" s="9" t="s">
        <v>233</v>
      </c>
      <c r="D3" s="9"/>
      <c r="E3" s="115">
        <v>46091</v>
      </c>
      <c r="F3" s="115"/>
      <c r="G3" s="115"/>
      <c r="H3" s="115"/>
    </row>
    <row r="4" spans="1:73" ht="18" customHeight="1" x14ac:dyDescent="0.25">
      <c r="A4" s="3" t="s">
        <v>234</v>
      </c>
      <c r="C4" s="9" t="s">
        <v>235</v>
      </c>
      <c r="D4" s="9"/>
      <c r="E4" s="10">
        <v>1</v>
      </c>
      <c r="J4" s="116">
        <f>J5</f>
        <v>46090</v>
      </c>
      <c r="K4" s="117"/>
      <c r="L4" s="117"/>
      <c r="M4" s="117"/>
      <c r="N4" s="117"/>
      <c r="O4" s="117"/>
      <c r="P4" s="118"/>
      <c r="Q4" s="116">
        <f>Q5</f>
        <v>46097</v>
      </c>
      <c r="R4" s="117"/>
      <c r="S4" s="117"/>
      <c r="T4" s="117"/>
      <c r="U4" s="117"/>
      <c r="V4" s="117"/>
      <c r="W4" s="118"/>
      <c r="X4" s="116">
        <f>X5</f>
        <v>46104</v>
      </c>
      <c r="Y4" s="117"/>
      <c r="Z4" s="117"/>
      <c r="AA4" s="117"/>
      <c r="AB4" s="117"/>
      <c r="AC4" s="117"/>
      <c r="AD4" s="118"/>
      <c r="AE4" s="116">
        <f>AE5</f>
        <v>46111</v>
      </c>
      <c r="AF4" s="117"/>
      <c r="AG4" s="117"/>
      <c r="AH4" s="117"/>
      <c r="AI4" s="117"/>
      <c r="AJ4" s="117"/>
      <c r="AK4" s="118"/>
      <c r="AL4" s="116">
        <f>AL5</f>
        <v>46118</v>
      </c>
      <c r="AM4" s="117"/>
      <c r="AN4" s="117"/>
      <c r="AO4" s="117"/>
      <c r="AP4" s="117"/>
      <c r="AQ4" s="117"/>
      <c r="AR4" s="118"/>
      <c r="AS4" s="116">
        <f>AS5</f>
        <v>46125</v>
      </c>
      <c r="AT4" s="117"/>
      <c r="AU4" s="117"/>
      <c r="AV4" s="117"/>
      <c r="AW4" s="117"/>
      <c r="AX4" s="117"/>
      <c r="AY4" s="118"/>
      <c r="AZ4" s="116">
        <f>AZ5</f>
        <v>46132</v>
      </c>
      <c r="BA4" s="117"/>
      <c r="BB4" s="117"/>
      <c r="BC4" s="117"/>
      <c r="BD4" s="117"/>
      <c r="BE4" s="117"/>
      <c r="BF4" s="118"/>
      <c r="BG4" s="116">
        <f>BG5</f>
        <v>46139</v>
      </c>
      <c r="BH4" s="117"/>
      <c r="BI4" s="117"/>
      <c r="BJ4" s="117"/>
      <c r="BK4" s="117"/>
      <c r="BL4" s="117"/>
      <c r="BM4" s="118"/>
      <c r="BN4" s="116">
        <f>BN5</f>
        <v>46146</v>
      </c>
      <c r="BO4" s="117"/>
      <c r="BP4" s="117"/>
      <c r="BQ4" s="117"/>
      <c r="BR4" s="117"/>
      <c r="BS4" s="117"/>
      <c r="BT4" s="118"/>
    </row>
    <row r="5" spans="1:73" ht="15" customHeight="1" x14ac:dyDescent="0.25">
      <c r="A5" s="3" t="s">
        <v>236</v>
      </c>
      <c r="B5" s="11"/>
      <c r="C5" s="11"/>
      <c r="D5" s="11"/>
      <c r="E5" s="11"/>
      <c r="F5" s="11"/>
      <c r="G5" s="11"/>
      <c r="H5" s="11"/>
      <c r="I5" s="11"/>
      <c r="J5" s="12">
        <f>项目开始-WEEKDAY(项目开始,1)+2+7*(显示周数-1)</f>
        <v>46090</v>
      </c>
      <c r="K5" s="13">
        <f t="shared" ref="K5:BT5" si="0">J5+1</f>
        <v>46091</v>
      </c>
      <c r="L5" s="13">
        <f t="shared" si="0"/>
        <v>46092</v>
      </c>
      <c r="M5" s="13">
        <f t="shared" si="0"/>
        <v>46093</v>
      </c>
      <c r="N5" s="13">
        <f t="shared" si="0"/>
        <v>46094</v>
      </c>
      <c r="O5" s="13">
        <f t="shared" si="0"/>
        <v>46095</v>
      </c>
      <c r="P5" s="14">
        <f t="shared" si="0"/>
        <v>46096</v>
      </c>
      <c r="Q5" s="12">
        <f t="shared" si="0"/>
        <v>46097</v>
      </c>
      <c r="R5" s="13">
        <f t="shared" si="0"/>
        <v>46098</v>
      </c>
      <c r="S5" s="13">
        <f t="shared" si="0"/>
        <v>46099</v>
      </c>
      <c r="T5" s="13">
        <f t="shared" si="0"/>
        <v>46100</v>
      </c>
      <c r="U5" s="13">
        <f t="shared" si="0"/>
        <v>46101</v>
      </c>
      <c r="V5" s="13">
        <f t="shared" si="0"/>
        <v>46102</v>
      </c>
      <c r="W5" s="14">
        <f t="shared" si="0"/>
        <v>46103</v>
      </c>
      <c r="X5" s="12">
        <f t="shared" si="0"/>
        <v>46104</v>
      </c>
      <c r="Y5" s="13">
        <f t="shared" si="0"/>
        <v>46105</v>
      </c>
      <c r="Z5" s="13">
        <f t="shared" si="0"/>
        <v>46106</v>
      </c>
      <c r="AA5" s="13">
        <f t="shared" si="0"/>
        <v>46107</v>
      </c>
      <c r="AB5" s="13">
        <f t="shared" si="0"/>
        <v>46108</v>
      </c>
      <c r="AC5" s="13">
        <f t="shared" si="0"/>
        <v>46109</v>
      </c>
      <c r="AD5" s="14">
        <f t="shared" si="0"/>
        <v>46110</v>
      </c>
      <c r="AE5" s="12">
        <f t="shared" si="0"/>
        <v>46111</v>
      </c>
      <c r="AF5" s="13">
        <f t="shared" si="0"/>
        <v>46112</v>
      </c>
      <c r="AG5" s="13">
        <f t="shared" si="0"/>
        <v>46113</v>
      </c>
      <c r="AH5" s="13">
        <f t="shared" si="0"/>
        <v>46114</v>
      </c>
      <c r="AI5" s="13">
        <f t="shared" si="0"/>
        <v>46115</v>
      </c>
      <c r="AJ5" s="13">
        <f t="shared" si="0"/>
        <v>46116</v>
      </c>
      <c r="AK5" s="14">
        <f t="shared" si="0"/>
        <v>46117</v>
      </c>
      <c r="AL5" s="12">
        <f t="shared" si="0"/>
        <v>46118</v>
      </c>
      <c r="AM5" s="13">
        <f t="shared" si="0"/>
        <v>46119</v>
      </c>
      <c r="AN5" s="13">
        <f t="shared" si="0"/>
        <v>46120</v>
      </c>
      <c r="AO5" s="13">
        <f t="shared" si="0"/>
        <v>46121</v>
      </c>
      <c r="AP5" s="13">
        <f t="shared" si="0"/>
        <v>46122</v>
      </c>
      <c r="AQ5" s="13">
        <f t="shared" si="0"/>
        <v>46123</v>
      </c>
      <c r="AR5" s="14">
        <f t="shared" si="0"/>
        <v>46124</v>
      </c>
      <c r="AS5" s="12">
        <f t="shared" si="0"/>
        <v>46125</v>
      </c>
      <c r="AT5" s="13">
        <f t="shared" si="0"/>
        <v>46126</v>
      </c>
      <c r="AU5" s="13">
        <f t="shared" si="0"/>
        <v>46127</v>
      </c>
      <c r="AV5" s="13">
        <f t="shared" si="0"/>
        <v>46128</v>
      </c>
      <c r="AW5" s="13">
        <f t="shared" si="0"/>
        <v>46129</v>
      </c>
      <c r="AX5" s="13">
        <f t="shared" si="0"/>
        <v>46130</v>
      </c>
      <c r="AY5" s="14">
        <f t="shared" si="0"/>
        <v>46131</v>
      </c>
      <c r="AZ5" s="12">
        <f t="shared" si="0"/>
        <v>46132</v>
      </c>
      <c r="BA5" s="13">
        <f t="shared" si="0"/>
        <v>46133</v>
      </c>
      <c r="BB5" s="13">
        <f t="shared" si="0"/>
        <v>46134</v>
      </c>
      <c r="BC5" s="13">
        <f t="shared" si="0"/>
        <v>46135</v>
      </c>
      <c r="BD5" s="13">
        <f t="shared" si="0"/>
        <v>46136</v>
      </c>
      <c r="BE5" s="13">
        <f t="shared" si="0"/>
        <v>46137</v>
      </c>
      <c r="BF5" s="14">
        <f t="shared" si="0"/>
        <v>46138</v>
      </c>
      <c r="BG5" s="12">
        <f t="shared" si="0"/>
        <v>46139</v>
      </c>
      <c r="BH5" s="13">
        <f t="shared" si="0"/>
        <v>46140</v>
      </c>
      <c r="BI5" s="13">
        <f t="shared" si="0"/>
        <v>46141</v>
      </c>
      <c r="BJ5" s="13">
        <f t="shared" si="0"/>
        <v>46142</v>
      </c>
      <c r="BK5" s="13">
        <f t="shared" si="0"/>
        <v>46143</v>
      </c>
      <c r="BL5" s="13">
        <f t="shared" si="0"/>
        <v>46144</v>
      </c>
      <c r="BM5" s="14">
        <f t="shared" si="0"/>
        <v>46145</v>
      </c>
      <c r="BN5" s="12">
        <f t="shared" si="0"/>
        <v>46146</v>
      </c>
      <c r="BO5" s="13">
        <f t="shared" si="0"/>
        <v>46147</v>
      </c>
      <c r="BP5" s="13">
        <f t="shared" si="0"/>
        <v>46148</v>
      </c>
      <c r="BQ5" s="13">
        <f t="shared" si="0"/>
        <v>46149</v>
      </c>
      <c r="BR5" s="13">
        <f t="shared" si="0"/>
        <v>46150</v>
      </c>
      <c r="BS5" s="13">
        <f t="shared" si="0"/>
        <v>46151</v>
      </c>
      <c r="BT5" s="14">
        <f t="shared" si="0"/>
        <v>46152</v>
      </c>
    </row>
    <row r="6" spans="1:73" ht="23.4" customHeight="1" x14ac:dyDescent="0.25">
      <c r="A6" s="3" t="s">
        <v>237</v>
      </c>
      <c r="B6" s="15" t="s">
        <v>238</v>
      </c>
      <c r="C6" s="16" t="s">
        <v>239</v>
      </c>
      <c r="D6" s="17" t="s">
        <v>240</v>
      </c>
      <c r="E6" s="16" t="s">
        <v>241</v>
      </c>
      <c r="F6" s="119" t="s">
        <v>242</v>
      </c>
      <c r="G6" s="119"/>
      <c r="H6" s="119"/>
      <c r="I6" s="16"/>
      <c r="J6" s="18" t="str">
        <f t="shared" ref="J6:BT6" si="1">RIGHT(TEXT(J5,"aaa"),1)</f>
        <v>一</v>
      </c>
      <c r="K6" s="18" t="str">
        <f t="shared" si="1"/>
        <v>二</v>
      </c>
      <c r="L6" s="18" t="str">
        <f t="shared" si="1"/>
        <v>三</v>
      </c>
      <c r="M6" s="18" t="str">
        <f t="shared" si="1"/>
        <v>四</v>
      </c>
      <c r="N6" s="18" t="str">
        <f t="shared" si="1"/>
        <v>五</v>
      </c>
      <c r="O6" s="18" t="str">
        <f t="shared" si="1"/>
        <v>六</v>
      </c>
      <c r="P6" s="18" t="str">
        <f t="shared" si="1"/>
        <v>日</v>
      </c>
      <c r="Q6" s="18" t="str">
        <f t="shared" si="1"/>
        <v>一</v>
      </c>
      <c r="R6" s="18" t="str">
        <f t="shared" si="1"/>
        <v>二</v>
      </c>
      <c r="S6" s="18" t="str">
        <f t="shared" si="1"/>
        <v>三</v>
      </c>
      <c r="T6" s="18" t="str">
        <f t="shared" si="1"/>
        <v>四</v>
      </c>
      <c r="U6" s="18" t="str">
        <f t="shared" si="1"/>
        <v>五</v>
      </c>
      <c r="V6" s="18" t="str">
        <f t="shared" si="1"/>
        <v>六</v>
      </c>
      <c r="W6" s="18" t="str">
        <f t="shared" si="1"/>
        <v>日</v>
      </c>
      <c r="X6" s="18" t="str">
        <f t="shared" si="1"/>
        <v>一</v>
      </c>
      <c r="Y6" s="18" t="str">
        <f t="shared" si="1"/>
        <v>二</v>
      </c>
      <c r="Z6" s="18" t="str">
        <f t="shared" si="1"/>
        <v>三</v>
      </c>
      <c r="AA6" s="18" t="str">
        <f t="shared" si="1"/>
        <v>四</v>
      </c>
      <c r="AB6" s="18" t="str">
        <f t="shared" si="1"/>
        <v>五</v>
      </c>
      <c r="AC6" s="18" t="str">
        <f t="shared" si="1"/>
        <v>六</v>
      </c>
      <c r="AD6" s="18" t="str">
        <f t="shared" si="1"/>
        <v>日</v>
      </c>
      <c r="AE6" s="18" t="str">
        <f t="shared" si="1"/>
        <v>一</v>
      </c>
      <c r="AF6" s="18" t="str">
        <f t="shared" si="1"/>
        <v>二</v>
      </c>
      <c r="AG6" s="18" t="str">
        <f t="shared" si="1"/>
        <v>三</v>
      </c>
      <c r="AH6" s="18" t="str">
        <f t="shared" si="1"/>
        <v>四</v>
      </c>
      <c r="AI6" s="18" t="str">
        <f t="shared" si="1"/>
        <v>五</v>
      </c>
      <c r="AJ6" s="18" t="str">
        <f t="shared" si="1"/>
        <v>六</v>
      </c>
      <c r="AK6" s="18" t="str">
        <f t="shared" si="1"/>
        <v>日</v>
      </c>
      <c r="AL6" s="18" t="str">
        <f t="shared" si="1"/>
        <v>一</v>
      </c>
      <c r="AM6" s="18" t="str">
        <f t="shared" si="1"/>
        <v>二</v>
      </c>
      <c r="AN6" s="18" t="str">
        <f t="shared" si="1"/>
        <v>三</v>
      </c>
      <c r="AO6" s="18" t="str">
        <f t="shared" si="1"/>
        <v>四</v>
      </c>
      <c r="AP6" s="18" t="str">
        <f t="shared" si="1"/>
        <v>五</v>
      </c>
      <c r="AQ6" s="18" t="str">
        <f t="shared" si="1"/>
        <v>六</v>
      </c>
      <c r="AR6" s="18" t="str">
        <f t="shared" si="1"/>
        <v>日</v>
      </c>
      <c r="AS6" s="18" t="str">
        <f t="shared" si="1"/>
        <v>一</v>
      </c>
      <c r="AT6" s="18" t="str">
        <f t="shared" si="1"/>
        <v>二</v>
      </c>
      <c r="AU6" s="18" t="str">
        <f t="shared" si="1"/>
        <v>三</v>
      </c>
      <c r="AV6" s="18" t="str">
        <f t="shared" si="1"/>
        <v>四</v>
      </c>
      <c r="AW6" s="18" t="str">
        <f t="shared" si="1"/>
        <v>五</v>
      </c>
      <c r="AX6" s="18" t="str">
        <f t="shared" si="1"/>
        <v>六</v>
      </c>
      <c r="AY6" s="18" t="str">
        <f t="shared" si="1"/>
        <v>日</v>
      </c>
      <c r="AZ6" s="18" t="str">
        <f t="shared" si="1"/>
        <v>一</v>
      </c>
      <c r="BA6" s="18" t="str">
        <f t="shared" si="1"/>
        <v>二</v>
      </c>
      <c r="BB6" s="18" t="str">
        <f t="shared" si="1"/>
        <v>三</v>
      </c>
      <c r="BC6" s="18" t="str">
        <f t="shared" si="1"/>
        <v>四</v>
      </c>
      <c r="BD6" s="18" t="str">
        <f t="shared" si="1"/>
        <v>五</v>
      </c>
      <c r="BE6" s="18" t="str">
        <f t="shared" si="1"/>
        <v>六</v>
      </c>
      <c r="BF6" s="18" t="str">
        <f t="shared" si="1"/>
        <v>日</v>
      </c>
      <c r="BG6" s="18" t="str">
        <f t="shared" si="1"/>
        <v>一</v>
      </c>
      <c r="BH6" s="18" t="str">
        <f t="shared" si="1"/>
        <v>二</v>
      </c>
      <c r="BI6" s="18" t="str">
        <f t="shared" si="1"/>
        <v>三</v>
      </c>
      <c r="BJ6" s="18" t="str">
        <f t="shared" si="1"/>
        <v>四</v>
      </c>
      <c r="BK6" s="18" t="str">
        <f t="shared" si="1"/>
        <v>五</v>
      </c>
      <c r="BL6" s="18" t="str">
        <f t="shared" si="1"/>
        <v>六</v>
      </c>
      <c r="BM6" s="18" t="str">
        <f t="shared" si="1"/>
        <v>日</v>
      </c>
      <c r="BN6" s="18" t="str">
        <f t="shared" si="1"/>
        <v>一</v>
      </c>
      <c r="BO6" s="18" t="str">
        <f t="shared" si="1"/>
        <v>二</v>
      </c>
      <c r="BP6" s="18" t="str">
        <f t="shared" si="1"/>
        <v>三</v>
      </c>
      <c r="BQ6" s="18" t="str">
        <f t="shared" si="1"/>
        <v>四</v>
      </c>
      <c r="BR6" s="18" t="str">
        <f t="shared" si="1"/>
        <v>五</v>
      </c>
      <c r="BS6" s="18" t="str">
        <f t="shared" si="1"/>
        <v>六</v>
      </c>
      <c r="BT6" s="18" t="str">
        <f t="shared" si="1"/>
        <v>日</v>
      </c>
      <c r="BU6" s="16" t="s">
        <v>243</v>
      </c>
    </row>
    <row r="7" spans="1:73" ht="10.199999999999999" customHeight="1" x14ac:dyDescent="0.25">
      <c r="A7" s="1" t="s">
        <v>244</v>
      </c>
      <c r="C7" s="19"/>
      <c r="D7" s="19"/>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row>
    <row r="8" spans="1:73" ht="23.4" customHeight="1" x14ac:dyDescent="0.25">
      <c r="A8" s="3" t="s">
        <v>245</v>
      </c>
      <c r="B8" s="21" t="s">
        <v>246</v>
      </c>
      <c r="C8" s="22" t="str">
        <f t="shared" ref="C8:C17" si="2">IFERROR(VLOOKUP(B8,$B$35:$C$42,2,FALSE),"")</f>
        <v>王少彬</v>
      </c>
      <c r="D8" s="22">
        <f t="shared" ref="D8:D17" si="3">IFERROR(VLOOKUP(B8,$B$35:$F$42,5,FALSE),"")</f>
        <v>4</v>
      </c>
      <c r="E8" s="21">
        <v>46097</v>
      </c>
      <c r="F8" s="23"/>
      <c r="G8" s="23"/>
      <c r="H8" s="23">
        <f t="shared" ref="H8:H17" si="4">IFERROR(E8+D8-1,"")</f>
        <v>46100</v>
      </c>
      <c r="I8" s="24"/>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row>
    <row r="9" spans="1:73" ht="23.4" customHeight="1" x14ac:dyDescent="0.25">
      <c r="A9" s="3" t="s">
        <v>247</v>
      </c>
      <c r="B9" s="21" t="s">
        <v>248</v>
      </c>
      <c r="C9" s="22" t="str">
        <f t="shared" si="2"/>
        <v>陈荣荣</v>
      </c>
      <c r="D9" s="22">
        <f t="shared" si="3"/>
        <v>12</v>
      </c>
      <c r="E9" s="26">
        <f t="shared" ref="E9:E17" si="5">IF(B9="","",H8+1)</f>
        <v>46101</v>
      </c>
      <c r="F9" s="23"/>
      <c r="G9" s="23"/>
      <c r="H9" s="23">
        <f t="shared" si="4"/>
        <v>46112</v>
      </c>
      <c r="I9" s="24"/>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5" t="s">
        <v>136</v>
      </c>
    </row>
    <row r="10" spans="1:73" ht="23.4" customHeight="1" x14ac:dyDescent="0.25">
      <c r="B10" s="21" t="s">
        <v>249</v>
      </c>
      <c r="C10" s="22" t="str">
        <f t="shared" si="2"/>
        <v>韦国强</v>
      </c>
      <c r="D10" s="22">
        <f t="shared" si="3"/>
        <v>2</v>
      </c>
      <c r="E10" s="26">
        <f t="shared" si="5"/>
        <v>46113</v>
      </c>
      <c r="F10" s="23"/>
      <c r="G10" s="23"/>
      <c r="H10" s="23">
        <f t="shared" si="4"/>
        <v>46114</v>
      </c>
      <c r="I10" s="24"/>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row>
    <row r="11" spans="1:73" ht="23.4" customHeight="1" x14ac:dyDescent="0.25">
      <c r="B11" s="21" t="s">
        <v>250</v>
      </c>
      <c r="C11" s="22" t="str">
        <f t="shared" si="2"/>
        <v>谢良威</v>
      </c>
      <c r="D11" s="22">
        <f t="shared" si="3"/>
        <v>2</v>
      </c>
      <c r="E11" s="26">
        <f t="shared" si="5"/>
        <v>46115</v>
      </c>
      <c r="F11" s="23"/>
      <c r="G11" s="23"/>
      <c r="H11" s="23">
        <f t="shared" si="4"/>
        <v>46116</v>
      </c>
      <c r="I11" s="24"/>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row>
    <row r="12" spans="1:73" ht="23.4" customHeight="1" x14ac:dyDescent="0.25">
      <c r="B12" s="21"/>
      <c r="C12" s="22" t="str">
        <f t="shared" si="2"/>
        <v/>
      </c>
      <c r="D12" s="22" t="str">
        <f t="shared" si="3"/>
        <v/>
      </c>
      <c r="E12" s="26" t="str">
        <f t="shared" si="5"/>
        <v/>
      </c>
      <c r="F12" s="47"/>
      <c r="G12" s="47"/>
      <c r="H12" s="26" t="str">
        <f t="shared" si="4"/>
        <v/>
      </c>
      <c r="I12" s="24"/>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row>
    <row r="13" spans="1:73" ht="23.4" hidden="1" customHeight="1" x14ac:dyDescent="0.25">
      <c r="B13" s="21"/>
      <c r="C13" s="22" t="str">
        <f t="shared" si="2"/>
        <v/>
      </c>
      <c r="D13" s="22" t="str">
        <f t="shared" si="3"/>
        <v/>
      </c>
      <c r="E13" s="26" t="str">
        <f t="shared" si="5"/>
        <v/>
      </c>
      <c r="F13" s="47"/>
      <c r="G13" s="47"/>
      <c r="H13" s="26" t="str">
        <f t="shared" si="4"/>
        <v/>
      </c>
      <c r="I13" s="24"/>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row>
    <row r="14" spans="1:73" ht="23.4" hidden="1" customHeight="1" x14ac:dyDescent="0.25">
      <c r="B14" s="21"/>
      <c r="C14" s="22" t="str">
        <f t="shared" si="2"/>
        <v/>
      </c>
      <c r="D14" s="22" t="str">
        <f t="shared" si="3"/>
        <v/>
      </c>
      <c r="E14" s="26" t="str">
        <f t="shared" si="5"/>
        <v/>
      </c>
      <c r="F14" s="47"/>
      <c r="G14" s="47"/>
      <c r="H14" s="26" t="str">
        <f t="shared" si="4"/>
        <v/>
      </c>
      <c r="I14" s="24"/>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row>
    <row r="15" spans="1:73" ht="23.4" hidden="1" customHeight="1" x14ac:dyDescent="0.25">
      <c r="B15" s="21"/>
      <c r="C15" s="22" t="str">
        <f t="shared" si="2"/>
        <v/>
      </c>
      <c r="D15" s="22" t="str">
        <f t="shared" si="3"/>
        <v/>
      </c>
      <c r="E15" s="26" t="str">
        <f t="shared" si="5"/>
        <v/>
      </c>
      <c r="F15" s="47"/>
      <c r="G15" s="47"/>
      <c r="H15" s="26" t="str">
        <f t="shared" si="4"/>
        <v/>
      </c>
      <c r="I15" s="24"/>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row>
    <row r="16" spans="1:73" ht="23.4" hidden="1" customHeight="1" x14ac:dyDescent="0.25">
      <c r="B16" s="21"/>
      <c r="C16" s="22" t="str">
        <f t="shared" si="2"/>
        <v/>
      </c>
      <c r="D16" s="22" t="str">
        <f t="shared" si="3"/>
        <v/>
      </c>
      <c r="E16" s="26" t="str">
        <f t="shared" si="5"/>
        <v/>
      </c>
      <c r="F16" s="47"/>
      <c r="G16" s="47"/>
      <c r="H16" s="26" t="str">
        <f t="shared" si="4"/>
        <v/>
      </c>
      <c r="I16" s="24"/>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row>
    <row r="17" spans="1:73" ht="23.4" hidden="1" customHeight="1" x14ac:dyDescent="0.25">
      <c r="B17" s="21"/>
      <c r="C17" s="22" t="str">
        <f t="shared" si="2"/>
        <v/>
      </c>
      <c r="D17" s="22" t="str">
        <f t="shared" si="3"/>
        <v/>
      </c>
      <c r="E17" s="26" t="str">
        <f t="shared" si="5"/>
        <v/>
      </c>
      <c r="F17" s="47"/>
      <c r="G17" s="47"/>
      <c r="H17" s="26" t="str">
        <f t="shared" si="4"/>
        <v/>
      </c>
      <c r="I17" s="24"/>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row>
    <row r="18" spans="1:73" ht="10.199999999999999" customHeight="1" x14ac:dyDescent="0.25">
      <c r="C18" s="19"/>
      <c r="D18" s="19"/>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row>
    <row r="19" spans="1:73" ht="23.4" customHeight="1" x14ac:dyDescent="0.25">
      <c r="A19" s="3" t="s">
        <v>251</v>
      </c>
      <c r="B19" s="27" t="s">
        <v>252</v>
      </c>
      <c r="C19" s="27" t="s">
        <v>253</v>
      </c>
      <c r="D19" s="27" t="s">
        <v>254</v>
      </c>
      <c r="E19" s="28" t="s">
        <v>255</v>
      </c>
      <c r="F19" s="28" t="s">
        <v>256</v>
      </c>
      <c r="G19" s="28" t="s">
        <v>257</v>
      </c>
      <c r="H19" s="29" t="s">
        <v>258</v>
      </c>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t="s">
        <v>259</v>
      </c>
    </row>
    <row r="20" spans="1:73" ht="10.199999999999999" customHeight="1" x14ac:dyDescent="0.25">
      <c r="C20" s="19"/>
      <c r="D20" s="19"/>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row>
    <row r="21" spans="1:73" ht="23.4" customHeight="1" x14ac:dyDescent="0.25">
      <c r="A21" s="3"/>
      <c r="B21" s="30" t="str">
        <f t="shared" ref="B21:B30" si="6">IF(B8="","",B8)</f>
        <v>车床</v>
      </c>
      <c r="C21" s="31" t="str">
        <f t="shared" ref="C21:C30" si="7">IF(C8="","",C8)</f>
        <v>王少彬</v>
      </c>
      <c r="D21" s="48">
        <v>46096</v>
      </c>
      <c r="E21" s="32">
        <f>IF(B21="","",IF(D21="",E8,D21))</f>
        <v>46096</v>
      </c>
      <c r="F21" s="49">
        <v>2</v>
      </c>
      <c r="G21" s="33">
        <f t="shared" ref="G21:G30" si="8">IF(F21="",D8,F21)</f>
        <v>2</v>
      </c>
      <c r="H21" s="32">
        <f t="shared" ref="H21:H30" si="9">IFERROR(E21+G21-1,"")</f>
        <v>46097</v>
      </c>
      <c r="I21" s="24"/>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row>
    <row r="22" spans="1:73" ht="23.4" customHeight="1" x14ac:dyDescent="0.25">
      <c r="B22" s="30" t="str">
        <f t="shared" si="6"/>
        <v>热处理</v>
      </c>
      <c r="C22" s="31" t="str">
        <f t="shared" si="7"/>
        <v>陈荣荣</v>
      </c>
      <c r="D22" s="48">
        <v>46099</v>
      </c>
      <c r="E22" s="32">
        <f t="shared" ref="E22:E30" si="10">IF(B22="","",IF(D22="",H21+1,D22))</f>
        <v>46099</v>
      </c>
      <c r="F22" s="49">
        <v>8</v>
      </c>
      <c r="G22" s="33">
        <f t="shared" si="8"/>
        <v>8</v>
      </c>
      <c r="H22" s="32">
        <f t="shared" si="9"/>
        <v>46106</v>
      </c>
      <c r="I22" s="24"/>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row>
    <row r="23" spans="1:73" ht="23.4" customHeight="1" x14ac:dyDescent="0.25">
      <c r="B23" s="30" t="str">
        <f t="shared" si="6"/>
        <v>无心磨</v>
      </c>
      <c r="C23" s="31" t="str">
        <f t="shared" si="7"/>
        <v>韦国强</v>
      </c>
      <c r="D23" s="48">
        <v>46108</v>
      </c>
      <c r="E23" s="32">
        <f t="shared" si="10"/>
        <v>46108</v>
      </c>
      <c r="F23" s="49">
        <v>6</v>
      </c>
      <c r="G23" s="33">
        <f t="shared" si="8"/>
        <v>6</v>
      </c>
      <c r="H23" s="32">
        <f t="shared" si="9"/>
        <v>46113</v>
      </c>
      <c r="I23" s="24"/>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5" t="s">
        <v>260</v>
      </c>
    </row>
    <row r="24" spans="1:73" ht="23.4" customHeight="1" x14ac:dyDescent="0.25">
      <c r="B24" s="30" t="str">
        <f t="shared" si="6"/>
        <v>VMI</v>
      </c>
      <c r="C24" s="31" t="str">
        <f t="shared" si="7"/>
        <v>谢良威</v>
      </c>
      <c r="D24" s="48">
        <v>46115</v>
      </c>
      <c r="E24" s="32">
        <f t="shared" si="10"/>
        <v>46115</v>
      </c>
      <c r="F24" s="49"/>
      <c r="G24" s="33">
        <f t="shared" si="8"/>
        <v>2</v>
      </c>
      <c r="H24" s="32">
        <f t="shared" si="9"/>
        <v>46116</v>
      </c>
      <c r="I24" s="24"/>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row>
    <row r="25" spans="1:73" ht="23.4" customHeight="1" x14ac:dyDescent="0.25">
      <c r="B25" s="30" t="str">
        <f t="shared" si="6"/>
        <v/>
      </c>
      <c r="C25" s="31" t="str">
        <f t="shared" si="7"/>
        <v/>
      </c>
      <c r="D25" s="48"/>
      <c r="E25" s="32" t="str">
        <f t="shared" si="10"/>
        <v/>
      </c>
      <c r="F25" s="49"/>
      <c r="G25" s="33" t="str">
        <f t="shared" si="8"/>
        <v/>
      </c>
      <c r="H25" s="32" t="str">
        <f t="shared" si="9"/>
        <v/>
      </c>
      <c r="I25" s="24"/>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row>
    <row r="26" spans="1:73" ht="23.4" hidden="1" customHeight="1" x14ac:dyDescent="0.25">
      <c r="B26" s="30" t="str">
        <f t="shared" si="6"/>
        <v/>
      </c>
      <c r="C26" s="31" t="str">
        <f t="shared" si="7"/>
        <v/>
      </c>
      <c r="D26" s="48"/>
      <c r="E26" s="32" t="str">
        <f t="shared" si="10"/>
        <v/>
      </c>
      <c r="F26" s="49"/>
      <c r="G26" s="33" t="str">
        <f t="shared" si="8"/>
        <v/>
      </c>
      <c r="H26" s="32" t="str">
        <f t="shared" si="9"/>
        <v/>
      </c>
      <c r="I26" s="24"/>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row>
    <row r="27" spans="1:73" ht="23.4" hidden="1" customHeight="1" x14ac:dyDescent="0.25">
      <c r="B27" s="30" t="str">
        <f t="shared" si="6"/>
        <v/>
      </c>
      <c r="C27" s="31" t="str">
        <f t="shared" si="7"/>
        <v/>
      </c>
      <c r="D27" s="48"/>
      <c r="E27" s="32" t="str">
        <f t="shared" si="10"/>
        <v/>
      </c>
      <c r="F27" s="49"/>
      <c r="G27" s="33" t="str">
        <f t="shared" si="8"/>
        <v/>
      </c>
      <c r="H27" s="32" t="str">
        <f t="shared" si="9"/>
        <v/>
      </c>
      <c r="I27" s="24"/>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row>
    <row r="28" spans="1:73" ht="23.4" hidden="1" customHeight="1" x14ac:dyDescent="0.25">
      <c r="B28" s="30" t="str">
        <f t="shared" si="6"/>
        <v/>
      </c>
      <c r="C28" s="31" t="str">
        <f t="shared" si="7"/>
        <v/>
      </c>
      <c r="D28" s="48"/>
      <c r="E28" s="32" t="str">
        <f t="shared" si="10"/>
        <v/>
      </c>
      <c r="F28" s="49"/>
      <c r="G28" s="33" t="str">
        <f t="shared" si="8"/>
        <v/>
      </c>
      <c r="H28" s="32" t="str">
        <f t="shared" si="9"/>
        <v/>
      </c>
      <c r="I28" s="24"/>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row>
    <row r="29" spans="1:73" ht="23.4" hidden="1" customHeight="1" x14ac:dyDescent="0.25">
      <c r="B29" s="30" t="str">
        <f t="shared" si="6"/>
        <v/>
      </c>
      <c r="C29" s="31" t="str">
        <f t="shared" si="7"/>
        <v/>
      </c>
      <c r="D29" s="48"/>
      <c r="E29" s="32" t="str">
        <f t="shared" si="10"/>
        <v/>
      </c>
      <c r="F29" s="49"/>
      <c r="G29" s="33" t="str">
        <f t="shared" si="8"/>
        <v/>
      </c>
      <c r="H29" s="32" t="str">
        <f t="shared" si="9"/>
        <v/>
      </c>
      <c r="I29" s="24"/>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row>
    <row r="30" spans="1:73" ht="23.4" hidden="1" customHeight="1" x14ac:dyDescent="0.25">
      <c r="B30" s="30" t="str">
        <f t="shared" si="6"/>
        <v/>
      </c>
      <c r="C30" s="31" t="str">
        <f t="shared" si="7"/>
        <v/>
      </c>
      <c r="D30" s="48"/>
      <c r="E30" s="32" t="str">
        <f t="shared" si="10"/>
        <v/>
      </c>
      <c r="F30" s="49"/>
      <c r="G30" s="33" t="str">
        <f t="shared" si="8"/>
        <v/>
      </c>
      <c r="H30" s="32" t="str">
        <f t="shared" si="9"/>
        <v/>
      </c>
      <c r="I30" s="24"/>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row>
    <row r="31" spans="1:73" ht="10.199999999999999" customHeight="1" x14ac:dyDescent="0.25">
      <c r="A31" s="1" t="s">
        <v>261</v>
      </c>
      <c r="C31" s="19"/>
      <c r="D31" s="19"/>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row>
    <row r="32" spans="1:73" ht="30" customHeight="1" x14ac:dyDescent="0.25">
      <c r="A32" s="3" t="s">
        <v>262</v>
      </c>
      <c r="B32" s="120" t="s">
        <v>263</v>
      </c>
      <c r="C32" s="120"/>
      <c r="D32" s="120"/>
      <c r="E32" s="34"/>
      <c r="F32" s="34"/>
      <c r="G32" s="34"/>
      <c r="H32" s="35"/>
      <c r="I32" s="36"/>
      <c r="J32" s="37"/>
      <c r="K32" s="37"/>
      <c r="L32" s="37"/>
      <c r="M32" s="37"/>
      <c r="N32" s="37"/>
      <c r="O32" s="37"/>
      <c r="P32" s="37"/>
      <c r="Q32" s="37"/>
      <c r="R32" s="37"/>
      <c r="S32" s="37"/>
      <c r="T32" s="37"/>
      <c r="U32" s="37"/>
      <c r="V32" s="37"/>
      <c r="W32" s="37"/>
      <c r="X32" s="37"/>
      <c r="Y32" s="37"/>
      <c r="Z32" s="37"/>
      <c r="AA32" s="37"/>
      <c r="AB32" s="37"/>
      <c r="AC32" s="37"/>
      <c r="AD32" s="37"/>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c r="BT32" s="37"/>
    </row>
    <row r="33" spans="2:8" ht="30" customHeight="1" x14ac:dyDescent="0.25">
      <c r="B33" s="43" t="s">
        <v>264</v>
      </c>
    </row>
    <row r="34" spans="2:8" ht="21.6" customHeight="1" x14ac:dyDescent="0.25">
      <c r="B34" s="38" t="s">
        <v>265</v>
      </c>
      <c r="C34" s="39" t="s">
        <v>266</v>
      </c>
      <c r="D34" s="39" t="s">
        <v>267</v>
      </c>
      <c r="E34" s="39" t="s">
        <v>268</v>
      </c>
      <c r="F34" s="38" t="s">
        <v>269</v>
      </c>
      <c r="G34" s="38" t="s">
        <v>27</v>
      </c>
      <c r="H34" s="40"/>
    </row>
    <row r="35" spans="2:8" ht="21.6" customHeight="1" x14ac:dyDescent="0.25">
      <c r="B35" s="41" t="s">
        <v>246</v>
      </c>
      <c r="C35" s="41" t="s">
        <v>270</v>
      </c>
      <c r="D35" s="42">
        <v>40</v>
      </c>
      <c r="E35" s="42">
        <v>3</v>
      </c>
      <c r="F35" s="44">
        <f t="shared" ref="F35:F40" si="11">ROUNDUP($F$1*D35/3600/22/0.8+E35,0)</f>
        <v>4</v>
      </c>
      <c r="G35" s="121" t="s">
        <v>271</v>
      </c>
    </row>
    <row r="36" spans="2:8" ht="21.6" customHeight="1" x14ac:dyDescent="0.25">
      <c r="B36" s="41" t="s">
        <v>272</v>
      </c>
      <c r="C36" s="41" t="s">
        <v>270</v>
      </c>
      <c r="D36" s="42"/>
      <c r="E36" s="42"/>
      <c r="F36" s="44">
        <f t="shared" si="11"/>
        <v>0</v>
      </c>
      <c r="G36" s="122"/>
    </row>
    <row r="37" spans="2:8" ht="21.6" customHeight="1" x14ac:dyDescent="0.25">
      <c r="B37" s="41" t="s">
        <v>273</v>
      </c>
      <c r="C37" s="41" t="s">
        <v>274</v>
      </c>
      <c r="D37" s="42"/>
      <c r="E37" s="42"/>
      <c r="F37" s="44">
        <f t="shared" si="11"/>
        <v>0</v>
      </c>
      <c r="G37" s="122"/>
    </row>
    <row r="38" spans="2:8" ht="21.6" customHeight="1" x14ac:dyDescent="0.25">
      <c r="B38" s="41" t="s">
        <v>249</v>
      </c>
      <c r="C38" s="41" t="s">
        <v>274</v>
      </c>
      <c r="D38" s="42">
        <v>40</v>
      </c>
      <c r="E38" s="42">
        <v>1</v>
      </c>
      <c r="F38" s="44">
        <f t="shared" si="11"/>
        <v>2</v>
      </c>
      <c r="G38" s="122"/>
    </row>
    <row r="39" spans="2:8" ht="21.6" customHeight="1" x14ac:dyDescent="0.25">
      <c r="B39" s="41" t="s">
        <v>275</v>
      </c>
      <c r="C39" s="41" t="s">
        <v>274</v>
      </c>
      <c r="D39" s="42"/>
      <c r="E39" s="42"/>
      <c r="F39" s="44">
        <f t="shared" si="11"/>
        <v>0</v>
      </c>
      <c r="G39" s="122"/>
    </row>
    <row r="40" spans="2:8" ht="21.6" customHeight="1" x14ac:dyDescent="0.25">
      <c r="B40" s="41" t="s">
        <v>276</v>
      </c>
      <c r="C40" s="41" t="s">
        <v>274</v>
      </c>
      <c r="D40" s="42"/>
      <c r="E40" s="42"/>
      <c r="F40" s="44">
        <f t="shared" si="11"/>
        <v>0</v>
      </c>
      <c r="G40" s="122"/>
    </row>
    <row r="41" spans="2:8" ht="21.6" customHeight="1" x14ac:dyDescent="0.25">
      <c r="B41" s="41" t="s">
        <v>248</v>
      </c>
      <c r="C41" s="41" t="s">
        <v>277</v>
      </c>
      <c r="D41" s="42"/>
      <c r="E41" s="42"/>
      <c r="F41" s="42">
        <v>12</v>
      </c>
      <c r="G41" s="122"/>
    </row>
    <row r="42" spans="2:8" ht="21.6" customHeight="1" x14ac:dyDescent="0.25">
      <c r="B42" s="41" t="s">
        <v>250</v>
      </c>
      <c r="C42" s="41" t="s">
        <v>278</v>
      </c>
      <c r="D42" s="42">
        <v>10</v>
      </c>
      <c r="E42" s="42">
        <v>1</v>
      </c>
      <c r="F42" s="44">
        <f>ROUNDUP($F$1*D42/3600/22/0.8+E42,0)</f>
        <v>2</v>
      </c>
      <c r="G42" s="122"/>
    </row>
    <row r="44" spans="2:8" ht="30" customHeight="1" x14ac:dyDescent="0.25">
      <c r="B44" s="2" t="s">
        <v>279</v>
      </c>
    </row>
    <row r="45" spans="2:8" ht="30" customHeight="1" x14ac:dyDescent="0.25">
      <c r="B45" s="38" t="s">
        <v>265</v>
      </c>
      <c r="C45" s="39" t="s">
        <v>266</v>
      </c>
      <c r="D45" s="39" t="s">
        <v>280</v>
      </c>
    </row>
    <row r="46" spans="2:8" ht="30" customHeight="1" x14ac:dyDescent="0.25">
      <c r="B46" s="41" t="s">
        <v>246</v>
      </c>
      <c r="C46" s="41" t="s">
        <v>270</v>
      </c>
      <c r="D46" s="42">
        <v>33</v>
      </c>
    </row>
    <row r="47" spans="2:8" ht="30" customHeight="1" x14ac:dyDescent="0.25">
      <c r="B47" s="41" t="s">
        <v>249</v>
      </c>
      <c r="C47" s="41" t="s">
        <v>274</v>
      </c>
      <c r="D47" s="42">
        <v>50</v>
      </c>
    </row>
    <row r="48" spans="2:8" ht="30" customHeight="1" x14ac:dyDescent="0.25">
      <c r="B48" s="41"/>
      <c r="C48" s="41"/>
      <c r="D48" s="42"/>
    </row>
  </sheetData>
  <mergeCells count="17">
    <mergeCell ref="B32:D32"/>
    <mergeCell ref="G35:G42"/>
    <mergeCell ref="AS4:AY4"/>
    <mergeCell ref="AZ4:BF4"/>
    <mergeCell ref="BG4:BM4"/>
    <mergeCell ref="BN4:BT4"/>
    <mergeCell ref="F6:H6"/>
    <mergeCell ref="J4:P4"/>
    <mergeCell ref="Q4:W4"/>
    <mergeCell ref="X4:AD4"/>
    <mergeCell ref="AE4:AK4"/>
    <mergeCell ref="AL4:AR4"/>
    <mergeCell ref="C1:D1"/>
    <mergeCell ref="F1:G1"/>
    <mergeCell ref="C2:D2"/>
    <mergeCell ref="F2:G2"/>
    <mergeCell ref="E3:H3"/>
  </mergeCells>
  <phoneticPr fontId="45" type="noConversion"/>
  <conditionalFormatting sqref="BN32:BS32">
    <cfRule type="expression" dxfId="11" priority="2" stopIfTrue="1">
      <formula>AND(task_end&gt;=BN$5,task_start&lt;BO$5)</formula>
    </cfRule>
  </conditionalFormatting>
  <conditionalFormatting sqref="BU7:BU18">
    <cfRule type="expression" dxfId="10" priority="4">
      <formula>AND(TODAY()&gt;=BU$5,TODAY()&lt;BV$5)</formula>
    </cfRule>
  </conditionalFormatting>
  <conditionalFormatting sqref="BU21:BU30">
    <cfRule type="expression" dxfId="9" priority="5">
      <formula>AND(task_start&lt;=BU$5,ROUNDDOWN((task_end-task_start+1)*task_progress,0)+task_start-1&gt;=BU$5)</formula>
    </cfRule>
    <cfRule type="expression" dxfId="8" priority="6" stopIfTrue="1">
      <formula>AND(task_end&gt;=BU$5,task_start&lt;BV$5)</formula>
    </cfRule>
    <cfRule type="expression" dxfId="7" priority="7">
      <formula>AND(TODAY()&gt;=BU$5,TODAY()&lt;BV$5)</formula>
    </cfRule>
  </conditionalFormatting>
  <conditionalFormatting sqref="J5:BL18 J20:BT31 J32:BL32">
    <cfRule type="expression" dxfId="6" priority="10">
      <formula>AND(TODAY()&gt;=J$5,TODAY()&lt;K$5)</formula>
    </cfRule>
  </conditionalFormatting>
  <conditionalFormatting sqref="BM5:BM6 BT5:BT6 BM7:BT18 BM32 BT32">
    <cfRule type="expression" dxfId="5" priority="11">
      <formula>AND(TODAY()&gt;=BM$5,TODAY()&lt;BU$5)</formula>
    </cfRule>
  </conditionalFormatting>
  <conditionalFormatting sqref="BN5:BS6 BN32:BS32">
    <cfRule type="expression" dxfId="4" priority="3">
      <formula>AND(TODAY()&gt;=BN$5,TODAY()&lt;BO$5)</formula>
    </cfRule>
  </conditionalFormatting>
  <conditionalFormatting sqref="J7:BL18 BU7:BU18 J20:BT31 J32:BL32">
    <cfRule type="expression" dxfId="3" priority="9" stopIfTrue="1">
      <formula>AND(task_end&gt;=J$5,task_start&lt;K$5)</formula>
    </cfRule>
  </conditionalFormatting>
  <conditionalFormatting sqref="J7:BU18">
    <cfRule type="expression" dxfId="2" priority="8">
      <formula>AND(task_start&lt;=J$5,ROUNDDOWN((task_end-task_start+1)*task_progress,0)+task_start-1&gt;=J$5)</formula>
    </cfRule>
  </conditionalFormatting>
  <conditionalFormatting sqref="BM7:BT18 BM32 BT32">
    <cfRule type="expression" dxfId="1" priority="12" stopIfTrue="1">
      <formula>AND(task_end&gt;=BM$5,task_start&lt;BU$5)</formula>
    </cfRule>
  </conditionalFormatting>
  <conditionalFormatting sqref="J20:BT32">
    <cfRule type="expression" dxfId="0" priority="1">
      <formula>AND(task_start&lt;=J$5,ROUNDDOWN((task_end-task_start+1)*task_progress,0)+task_start-1&gt;=J$5)</formula>
    </cfRule>
  </conditionalFormatting>
  <dataValidations count="2">
    <dataValidation type="whole" operator="greaterThanOrEqual" allowBlank="1" showInputMessage="1" promptTitle="显示周数" prompt="更改此数字将滚动甘特图视图。" sqref="E4:G4" xr:uid="{00000000-0002-0000-0200-000000000000}">
      <formula1>1</formula1>
    </dataValidation>
    <dataValidation type="list" allowBlank="1" showInputMessage="1" showErrorMessage="1" sqref="B8:B17" xr:uid="{00000000-0002-0000-0200-000001000000}">
      <formula1>$B$35:$B$44</formula1>
    </dataValidation>
  </dataValidations>
  <hyperlinks>
    <hyperlink ref="B3" location="'List '!A1" display="Back To List" xr:uid="{00000000-0004-0000-0200-000000000000}"/>
  </hyperlinks>
  <printOptions horizontalCentered="1"/>
  <pageMargins left="0.35" right="0.35" top="0.35" bottom="0.5" header="0.3" footer="0.3"/>
  <pageSetup paperSize="9" scale="32" fitToHeight="0" orientation="landscape"/>
  <headerFooter differentFirst="1" scaleWithDoc="0">
    <oddFooter>&amp;CPage &amp;P of &amp;N</oddFooter>
  </headerFooter>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7</vt:i4>
      </vt:variant>
    </vt:vector>
  </HeadingPairs>
  <TitlesOfParts>
    <vt:vector size="10" baseType="lpstr">
      <vt:lpstr>Summary </vt:lpstr>
      <vt:lpstr>List </vt:lpstr>
      <vt:lpstr>160312306W-T1</vt:lpstr>
      <vt:lpstr>'List '!Print_Area</vt:lpstr>
      <vt:lpstr>'160312306W-T1'!Print_Titles</vt:lpstr>
      <vt:lpstr>'160312306W-T1'!task_end</vt:lpstr>
      <vt:lpstr>'160312306W-T1'!task_start</vt:lpstr>
      <vt:lpstr>'List '!报价阶段</vt:lpstr>
      <vt:lpstr>'160312306W-T1'!显示周数</vt:lpstr>
      <vt:lpstr>'160312306W-T1'!项目开始</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 wan</dc:creator>
  <cp:lastModifiedBy>Andy Yu</cp:lastModifiedBy>
  <dcterms:created xsi:type="dcterms:W3CDTF">2026-03-10T09:31:00Z</dcterms:created>
  <dcterms:modified xsi:type="dcterms:W3CDTF">2026-04-09T03:06:54Z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196DDDA4EC5F4E0D9186B92E07086ED1_13</vt:lpwstr>
  </property>
  <property fmtid="{D5CDD505-2E9C-101B-9397-08002B2CF9AE}" pid="3" name="KSOProductBuildVer">
    <vt:lpwstr>2052-12.1.0.25225</vt:lpwstr>
  </property>
  <property fmtid="{D5CDD505-2E9C-101B-9397-08002B2CF9AE}" pid="4" name="CalculationRule">
    <vt:i4>1</vt:i4>
  </property>
</Properties>
</file>